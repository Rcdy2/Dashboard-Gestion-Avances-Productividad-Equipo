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 disco d\DASHBOARDS FINALES EXCEL\"/>
    </mc:Choice>
  </mc:AlternateContent>
  <xr:revisionPtr revIDLastSave="0" documentId="8_{24B83F41-AD3B-4F20-8655-0749C0C74240}" xr6:coauthVersionLast="47" xr6:coauthVersionMax="47" xr10:uidLastSave="{00000000-0000-0000-0000-000000000000}"/>
  <bookViews>
    <workbookView xWindow="-120" yWindow="-120" windowWidth="29040" windowHeight="15840" xr2:uid="{1C7E5758-92D5-40EB-8EEE-4FD6AED19149}"/>
  </bookViews>
  <sheets>
    <sheet name="DASHBOARD" sheetId="9" r:id="rId1"/>
    <sheet name="Colaboradores" sheetId="1" r:id="rId2"/>
    <sheet name="HU" sheetId="2" r:id="rId3"/>
    <sheet name="Avances" sheetId="3" r:id="rId4"/>
    <sheet name="Analisis" sheetId="4" r:id="rId5"/>
  </sheets>
  <externalReferences>
    <externalReference r:id="rId6"/>
  </externalReferences>
  <definedNames>
    <definedName name="_xlcn.WorksheetConnection_Libro1tAvances1" hidden="1">tAvances[]</definedName>
    <definedName name="_xlcn.WorksheetConnection_Libro1tColaboradores1" hidden="1">tColaboradores[]</definedName>
    <definedName name="_xlcn.WorksheetConnection_Libro1tHU1" hidden="1">tHU[]</definedName>
    <definedName name="SegmentaciónDeDatos_DiasRetraso">#N/A</definedName>
    <definedName name="SegmentaciónDeDatos_Epica">#N/A</definedName>
    <definedName name="SegmentaciónDeDatos_EstadoAvance">#N/A</definedName>
    <definedName name="SegmentaciónDeDatos_FechaFinEstimada">#N/A</definedName>
    <definedName name="SegmentaciónDeDatos_FechaRegistro__día">#N/A</definedName>
    <definedName name="SegmentaciónDeDatos_Prioridad">#N/A</definedName>
  </definedNames>
  <calcPr calcId="191029"/>
  <pivotCaches>
    <pivotCache cacheId="18" r:id="rId7"/>
    <pivotCache cacheId="19" r:id="rId8"/>
    <pivotCache cacheId="20" r:id="rId9"/>
    <pivotCache cacheId="21" r:id="rId10"/>
    <pivotCache cacheId="22" r:id="rId11"/>
    <pivotCache cacheId="23" r:id="rId12"/>
    <pivotCache cacheId="24" r:id="rId13"/>
    <pivotCache cacheId="25" r:id="rId14"/>
    <pivotCache cacheId="26" r:id="rId15"/>
  </pivotCaches>
  <extLst>
    <ext xmlns:x14="http://schemas.microsoft.com/office/spreadsheetml/2009/9/main" uri="{876F7934-8845-4945-9796-88D515C7AA90}">
      <x14:pivotCaches>
        <pivotCache cacheId="27" r:id="rId16"/>
      </x14:pivotCaches>
    </ex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HU" name="tHU" connection="WorksheetConnection_Libro1!tHU"/>
          <x15:modelTable id="tColaboradores" name="tColaboradores" connection="WorksheetConnection_Libro1!tColaboradores"/>
          <x15:modelTable id="tAvances" name="tAvances" connection="WorksheetConnection_Libro1!tAvances"/>
        </x15:modelTables>
        <x15:modelRelationships>
          <x15:modelRelationship fromTable="tAvances" fromColumn="HU_ID" toTable="tHU" toColumn="HU_ID"/>
          <x15:modelRelationship fromTable="tAvances" fromColumn="ColaboradorID" toTable="tColaboradores" toColumn="Colaborador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vances" columnName="FechaRegistro" columnId="FechaRegistro">
                <x16:calculatedTimeColumn columnName="FechaRegistro (índice de días)" columnId="FechaRegistro (índice de días)" contentType="daysindex" isSelected="1"/>
                <x16:calculatedTimeColumn columnName="FechaRegistro (día)" columnId="FechaRegistro (día)" contentType="day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3" l="1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21" i="1" a="1"/>
  <c r="A21" i="1" s="1"/>
  <c r="A20" i="1" a="1"/>
  <c r="A20" i="1" s="1"/>
  <c r="A19" i="1" a="1"/>
  <c r="A19" i="1" s="1"/>
  <c r="A18" i="1" a="1"/>
  <c r="A18" i="1" s="1"/>
  <c r="A17" i="1" a="1"/>
  <c r="A17" i="1" s="1"/>
  <c r="A16" i="1" a="1"/>
  <c r="A16" i="1" s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A8" i="1" a="1"/>
  <c r="A8" i="1" s="1"/>
  <c r="A7" i="1" a="1"/>
  <c r="A7" i="1" s="1"/>
  <c r="A6" i="1" a="1"/>
  <c r="A6" i="1" s="1"/>
  <c r="A5" i="1" a="1"/>
  <c r="A5" i="1" s="1"/>
  <c r="A4" i="1" a="1"/>
  <c r="A4" i="1" s="1"/>
  <c r="A3" i="1" a="1"/>
  <c r="A3" i="1" s="1"/>
  <c r="A2" i="1" a="1"/>
  <c r="A2" i="1" s="1"/>
  <c r="B14" i="9"/>
  <c r="B13" i="9"/>
  <c r="C14" i="9"/>
  <c r="C52" i="9"/>
  <c r="B9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AB7FB-B139-4B1D-AC69-8D7FA3DC7827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1DB1215-2623-4074-B2EB-E2EE146863DB}" name="WorksheetConnection_Libro1!tAvances" type="102" refreshedVersion="8" minRefreshableVersion="5">
    <extLst>
      <ext xmlns:x15="http://schemas.microsoft.com/office/spreadsheetml/2010/11/main" uri="{DE250136-89BD-433C-8126-D09CA5730AF9}">
        <x15:connection id="tAvances">
          <x15:rangePr sourceName="_xlcn.WorksheetConnection_Libro1tAvances1"/>
        </x15:connection>
      </ext>
    </extLst>
  </connection>
  <connection id="3" xr16:uid="{E901F0DE-FB82-482C-AADE-2BD350F5C006}" name="WorksheetConnection_Libro1!tColaboradores" type="102" refreshedVersion="8" minRefreshableVersion="5">
    <extLst>
      <ext xmlns:x15="http://schemas.microsoft.com/office/spreadsheetml/2010/11/main" uri="{DE250136-89BD-433C-8126-D09CA5730AF9}">
        <x15:connection id="tColaboradores">
          <x15:rangePr sourceName="_xlcn.WorksheetConnection_Libro1tColaboradores1"/>
        </x15:connection>
      </ext>
    </extLst>
  </connection>
  <connection id="4" xr16:uid="{72C286EF-B71A-4EF4-BC34-84521BAC1E4C}" name="WorksheetConnection_Libro1!tHU" type="102" refreshedVersion="8" minRefreshableVersion="5">
    <extLst>
      <ext xmlns:x15="http://schemas.microsoft.com/office/spreadsheetml/2010/11/main" uri="{DE250136-89BD-433C-8126-D09CA5730AF9}">
        <x15:connection id="tHU" autoDelete="1">
          <x15:rangePr sourceName="_xlcn.WorksheetConnection_Libro1tHU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">
    <s v="ThisWorkbookDataModel"/>
    <s v="{[tHU].[FechaFinEstimada].[All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<sst xmlns="http://schemas.openxmlformats.org/spreadsheetml/2006/main" count="451" uniqueCount="205">
  <si>
    <t>Colaborador ID</t>
  </si>
  <si>
    <t>Nombres</t>
  </si>
  <si>
    <t>Rol</t>
  </si>
  <si>
    <t>Area</t>
  </si>
  <si>
    <t>FechaIngreso</t>
  </si>
  <si>
    <t>Alejandro Vargas</t>
  </si>
  <si>
    <t>Desarrollador Frontend</t>
  </si>
  <si>
    <t>Desarrollo Web</t>
  </si>
  <si>
    <t>Camila Fernández</t>
  </si>
  <si>
    <t>Desarrolladora Backend</t>
  </si>
  <si>
    <t>Diego Morales</t>
  </si>
  <si>
    <t>Diseñador UI/UX</t>
  </si>
  <si>
    <t>Diseño</t>
  </si>
  <si>
    <t>Fernanda León</t>
  </si>
  <si>
    <t>QA Tester</t>
  </si>
  <si>
    <t>Control de Calidad</t>
  </si>
  <si>
    <t>Gabriel Torres</t>
  </si>
  <si>
    <t>Líder Técnico</t>
  </si>
  <si>
    <t>Isabel Reyes</t>
  </si>
  <si>
    <t>Scrum Master</t>
  </si>
  <si>
    <t>Gestión</t>
  </si>
  <si>
    <t>Javier Castillo</t>
  </si>
  <si>
    <t>Desarrollador Full Stack</t>
  </si>
  <si>
    <t>Karina Méndez</t>
  </si>
  <si>
    <t>Analista Funcional</t>
  </si>
  <si>
    <t>Análisis</t>
  </si>
  <si>
    <t>Luis Santana</t>
  </si>
  <si>
    <t>DevOps</t>
  </si>
  <si>
    <t>Infraestructura</t>
  </si>
  <si>
    <t>Mariana Paredes</t>
  </si>
  <si>
    <t>Tester Automatización</t>
  </si>
  <si>
    <t>Nicolás Fuentes</t>
  </si>
  <si>
    <t>Desarrollador Móvil</t>
  </si>
  <si>
    <t>Desarrollo Móvil</t>
  </si>
  <si>
    <t>Olivia Salazar</t>
  </si>
  <si>
    <t>Product Owner</t>
  </si>
  <si>
    <t>Pablo Núñez</t>
  </si>
  <si>
    <t>DBA</t>
  </si>
  <si>
    <t>Romina Castro</t>
  </si>
  <si>
    <t>UX Researcher</t>
  </si>
  <si>
    <t>Santiago Peña</t>
  </si>
  <si>
    <t>Valeria Muñoz</t>
  </si>
  <si>
    <t>Technical Writer</t>
  </si>
  <si>
    <t>Documentación</t>
  </si>
  <si>
    <t>Andrés Herrera</t>
  </si>
  <si>
    <t>Soporte Técnico</t>
  </si>
  <si>
    <t>Operaciones</t>
  </si>
  <si>
    <t>Daniela Ríos</t>
  </si>
  <si>
    <t>Analista de Datos</t>
  </si>
  <si>
    <t>Esteban Córdova</t>
  </si>
  <si>
    <t>Arquitecto de Software</t>
  </si>
  <si>
    <t>Arquitectura</t>
  </si>
  <si>
    <t>Fabiola Aguirre</t>
  </si>
  <si>
    <t>UX/UI Designer</t>
  </si>
  <si>
    <t>HU_ID</t>
  </si>
  <si>
    <t>Epica</t>
  </si>
  <si>
    <t>HU_Codigo</t>
  </si>
  <si>
    <t>NombreHistoria</t>
  </si>
  <si>
    <t>Prioridad</t>
  </si>
  <si>
    <t>PuntosEstimados</t>
  </si>
  <si>
    <t>ResponsableAsignadoID</t>
  </si>
  <si>
    <t>FechaInicioEstimada</t>
  </si>
  <si>
    <t>FechaFinEstimada</t>
  </si>
  <si>
    <t>DiasRetraso</t>
  </si>
  <si>
    <t>Autenticación y Seguridad</t>
  </si>
  <si>
    <t>AUTH-01</t>
  </si>
  <si>
    <t>Visualizar interfaz de inicio de sesión</t>
  </si>
  <si>
    <t>Alta</t>
  </si>
  <si>
    <t>AUTH-02</t>
  </si>
  <si>
    <t>Iniciar Sesión</t>
  </si>
  <si>
    <t>AUTH-03</t>
  </si>
  <si>
    <t>Visualizar interfaz de Reestablecer Contraseña</t>
  </si>
  <si>
    <t>Media</t>
  </si>
  <si>
    <t>AUTH-04</t>
  </si>
  <si>
    <t>Reestablecer Contraseña</t>
  </si>
  <si>
    <t>Home Gerencia</t>
  </si>
  <si>
    <t>HOME-01</t>
  </si>
  <si>
    <t>Visualizar interfaz principal de Gerencia</t>
  </si>
  <si>
    <t>HOME-02</t>
  </si>
  <si>
    <t>Visualizar barra lateral de navegación</t>
  </si>
  <si>
    <t>Baja</t>
  </si>
  <si>
    <t>HOME-03</t>
  </si>
  <si>
    <t>Visualizar encabezado principal con datos del usuario</t>
  </si>
  <si>
    <t>HOME-04</t>
  </si>
  <si>
    <t>Interactuar con filtro de "Mis Divisiones"</t>
  </si>
  <si>
    <t>HOME-05</t>
  </si>
  <si>
    <t>Visualizar cards de divisiones</t>
  </si>
  <si>
    <t>HOME-06</t>
  </si>
  <si>
    <t>Interactuar con Cards de área</t>
  </si>
  <si>
    <t>Mi Asistencia</t>
  </si>
  <si>
    <t>ASIS-01</t>
  </si>
  <si>
    <t>Visualizar interfaz principal General</t>
  </si>
  <si>
    <t>ASIS-02</t>
  </si>
  <si>
    <t>ASIS-03</t>
  </si>
  <si>
    <t>ASIS-04</t>
  </si>
  <si>
    <t>Visualizar card de "Marcar Asistencia"</t>
  </si>
  <si>
    <t>ASIS-05</t>
  </si>
  <si>
    <t>Visualizar modal de alertas</t>
  </si>
  <si>
    <t>ASIS-06</t>
  </si>
  <si>
    <t>Visualizar tabla de Registro de Asistencia</t>
  </si>
  <si>
    <t>ASIS-07</t>
  </si>
  <si>
    <t>Visualizar sección días convenio</t>
  </si>
  <si>
    <t>ASIS-08</t>
  </si>
  <si>
    <t>Visualizar sección de Justificaciones</t>
  </si>
  <si>
    <t>ASIS-09</t>
  </si>
  <si>
    <t>Visualizar modal de Cruce de Horario</t>
  </si>
  <si>
    <t>ASIS-10</t>
  </si>
  <si>
    <t>Visualizar modal de Justifica tu Falta</t>
  </si>
  <si>
    <t>ASIS-11</t>
  </si>
  <si>
    <t>Visualizar sección de Estado</t>
  </si>
  <si>
    <t>Comunicados</t>
  </si>
  <si>
    <t>COMU-01</t>
  </si>
  <si>
    <t>Visualizar interfaz principal de Comunicados</t>
  </si>
  <si>
    <t>COMU-02</t>
  </si>
  <si>
    <t>COMU-03</t>
  </si>
  <si>
    <t>COMU-04</t>
  </si>
  <si>
    <t>Visualizar card de Mandar Comunicado</t>
  </si>
  <si>
    <t>COMU-05</t>
  </si>
  <si>
    <t>Visualizar lista de Avisos Urgentes</t>
  </si>
  <si>
    <t>COMU-06</t>
  </si>
  <si>
    <t>Visualizar lista de Comunicados</t>
  </si>
  <si>
    <t>Dashboard General</t>
  </si>
  <si>
    <t>DASH-01</t>
  </si>
  <si>
    <t>Visualizar KPIs principales</t>
  </si>
  <si>
    <t>DASH-02</t>
  </si>
  <si>
    <t>Visualizar gráfico de avance por épica</t>
  </si>
  <si>
    <t>DASH-03</t>
  </si>
  <si>
    <t>Exportar reporte de avances</t>
  </si>
  <si>
    <t>AvanceID</t>
  </si>
  <si>
    <t>ColaboradorID</t>
  </si>
  <si>
    <t>FechaRegistro</t>
  </si>
  <si>
    <t>HorasDedicadas</t>
  </si>
  <si>
    <t>EstadoAvance</t>
  </si>
  <si>
    <t>Comentario</t>
  </si>
  <si>
    <t>EsCompletada</t>
  </si>
  <si>
    <t>Completada</t>
  </si>
  <si>
    <t>En Progreso</t>
  </si>
  <si>
    <t>Pendiente</t>
  </si>
  <si>
    <t>Sidebar comunicados</t>
  </si>
  <si>
    <t>Header comunicados</t>
  </si>
  <si>
    <t>Áreas</t>
  </si>
  <si>
    <t>Finalizada y probada</t>
  </si>
  <si>
    <t>Interfaz lista</t>
  </si>
  <si>
    <t>Estilos y funcionalidad</t>
  </si>
  <si>
    <t>Componente de sidebar</t>
  </si>
  <si>
    <t>Finalizado</t>
  </si>
  <si>
    <t>Cards responsivas</t>
  </si>
  <si>
    <t>Sidebar funcional</t>
  </si>
  <si>
    <t>Modales de alerta</t>
  </si>
  <si>
    <t>Tabla de registros</t>
  </si>
  <si>
    <t>Sección de convenio</t>
  </si>
  <si>
    <t>Interfaz comunicados</t>
  </si>
  <si>
    <t>Card mandar comunicado</t>
  </si>
  <si>
    <t>Lista avisos urgentes</t>
  </si>
  <si>
    <t>Avance en lógica</t>
  </si>
  <si>
    <t>Corrigiendo bugs</t>
  </si>
  <si>
    <t>Diseño avanzado</t>
  </si>
  <si>
    <t>Pruebas unitarias</t>
  </si>
  <si>
    <t>Implementando filtros</t>
  </si>
  <si>
    <t>Ajustes de UI</t>
  </si>
  <si>
    <t>Interacción básica</t>
  </si>
  <si>
    <t>Sin iniciar</t>
  </si>
  <si>
    <t>Maquetación</t>
  </si>
  <si>
    <t>Lógica de modales</t>
  </si>
  <si>
    <t>Desarrollo</t>
  </si>
  <si>
    <t>KPIs dashboard</t>
  </si>
  <si>
    <t>Etiquetas de fila</t>
  </si>
  <si>
    <t>Total general</t>
  </si>
  <si>
    <t>Avance por Épica</t>
  </si>
  <si>
    <t>Total HUs</t>
  </si>
  <si>
    <t>HUs Completadas</t>
  </si>
  <si>
    <t> Estado por Colaborador</t>
  </si>
  <si>
    <t>Etiquetas de columna</t>
  </si>
  <si>
    <t>Recuento de AvanceID</t>
  </si>
  <si>
    <t>1-Nov</t>
  </si>
  <si>
    <t>3-Nov</t>
  </si>
  <si>
    <t>4-Nov</t>
  </si>
  <si>
    <t>5-Nov</t>
  </si>
  <si>
    <t>6-Nov</t>
  </si>
  <si>
    <t>8-Nov</t>
  </si>
  <si>
    <t>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</si>
  <si>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</si>
  <si>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</si>
  <si>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</si>
  <si>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</si>
  <si>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</si>
  <si>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</si>
  <si>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</si>
  <si>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</si>
  <si>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</si>
  <si>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</si>
  <si>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</si>
  <si>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</si>
  <si>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</si>
  <si>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</si>
  <si>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</si>
  <si>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</si>
  <si>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</si>
  <si>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Horas por Día(productividad)</t>
  </si>
  <si>
    <t>Avance por Prioridad</t>
  </si>
  <si>
    <t>Retrasos por Épica(HU que vencen hoy)</t>
  </si>
  <si>
    <t>All</t>
  </si>
  <si>
    <t>DASHBOARD DE AVANCES</t>
  </si>
  <si>
    <t>Recuento de HU_ID</t>
  </si>
  <si>
    <t>Suma de PuntosEstimados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</si>
</sst>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sz val="11"/>
      <color rgb="FF0F1115"/>
      <name val="Segoe UI"/>
      <family val="2"/>
    </font>
    <font>
      <b/>
      <sz val="12"/>
      <color theme="1"/>
      <name val="Aptos Narrow"/>
      <family val="2"/>
      <scheme val="minor"/>
    </font>
    <font>
      <b/>
      <sz val="20"/>
      <color rgb="FF34365A"/>
      <name val="Aptos Narrow"/>
      <family val="2"/>
      <scheme val="minor"/>
    </font>
    <font>
      <sz val="11"/>
      <color rgb="FF34365A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D8D4E2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/>
      <top style="thin">
        <color theme="4" tint="0.3999755851924192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9"/>
      </left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  <xf numFmtId="14" fontId="4" fillId="3" borderId="4" xfId="0" applyNumberFormat="1" applyFont="1" applyFill="1" applyBorder="1" applyAlignment="1">
      <alignment horizontal="left" vertical="center" wrapText="1" indent="1"/>
    </xf>
    <xf numFmtId="0" fontId="4" fillId="3" borderId="5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wrapText="1" indent="1"/>
    </xf>
    <xf numFmtId="14" fontId="4" fillId="3" borderId="6" xfId="0" applyNumberFormat="1" applyFont="1" applyFill="1" applyBorder="1" applyAlignment="1">
      <alignment horizontal="left" vertical="center" wrapText="1" indent="1"/>
    </xf>
    <xf numFmtId="0" fontId="1" fillId="4" borderId="0" xfId="0" applyFont="1" applyFill="1"/>
    <xf numFmtId="0" fontId="0" fillId="0" borderId="7" xfId="0" applyBorder="1"/>
    <xf numFmtId="14" fontId="0" fillId="0" borderId="7" xfId="0" applyNumberFormat="1" applyBorder="1"/>
    <xf numFmtId="0" fontId="1" fillId="6" borderId="0" xfId="0" applyFont="1" applyFill="1"/>
    <xf numFmtId="0" fontId="1" fillId="6" borderId="8" xfId="0" applyFont="1" applyFill="1" applyBorder="1"/>
    <xf numFmtId="0" fontId="0" fillId="5" borderId="9" xfId="0" applyFill="1" applyBorder="1"/>
    <xf numFmtId="14" fontId="0" fillId="5" borderId="9" xfId="0" applyNumberFormat="1" applyFill="1" applyBorder="1"/>
    <xf numFmtId="0" fontId="0" fillId="5" borderId="10" xfId="0" applyFill="1" applyBorder="1"/>
    <xf numFmtId="0" fontId="0" fillId="5" borderId="11" xfId="0" applyFill="1" applyBorder="1"/>
    <xf numFmtId="0" fontId="0" fillId="0" borderId="9" xfId="0" applyBorder="1"/>
    <xf numFmtId="14" fontId="0" fillId="0" borderId="9" xfId="0" applyNumberFormat="1" applyBorder="1"/>
    <xf numFmtId="0" fontId="0" fillId="0" borderId="10" xfId="0" applyBorder="1"/>
    <xf numFmtId="0" fontId="0" fillId="0" borderId="11" xfId="0" applyBorder="1"/>
    <xf numFmtId="14" fontId="0" fillId="5" borderId="1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2" fillId="5" borderId="12" xfId="0" applyFont="1" applyFill="1" applyBorder="1"/>
    <xf numFmtId="0" fontId="5" fillId="0" borderId="0" xfId="0" applyFont="1" applyAlignment="1">
      <alignment horizontal="center"/>
    </xf>
    <xf numFmtId="0" fontId="2" fillId="5" borderId="11" xfId="0" applyFont="1" applyFill="1" applyBorder="1"/>
    <xf numFmtId="0" fontId="0" fillId="7" borderId="0" xfId="0" applyFill="1"/>
    <xf numFmtId="0" fontId="7" fillId="7" borderId="0" xfId="0" applyFont="1" applyFill="1" applyAlignment="1">
      <alignment horizontal="center" vertical="center"/>
    </xf>
    <xf numFmtId="10" fontId="0" fillId="0" borderId="0" xfId="0" applyNumberForma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numFmt numFmtId="19" formatCode="d/mm/yyyy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Estilo de segmentación de datos 1" pivot="0" table="0" count="1" xr9:uid="{E3C7911F-AA0D-45A0-9A00-D85E1E08C0FF}">
      <tableStyleElement type="wholeTable" dxfId="25"/>
    </tableStyle>
  </tableStyles>
  <colors>
    <mruColors>
      <color rgb="FF34365A"/>
      <color rgb="FFD8D4E2"/>
      <color rgb="FF747898"/>
      <color rgb="FF5D617D"/>
      <color rgb="FF0F1A2B"/>
      <color rgb="FF394C77"/>
      <color rgb="FFDED5C8"/>
      <color rgb="FF000000"/>
      <color rgb="FF9D94B6"/>
      <color rgb="FF324368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microsoft.com/office/2007/relationships/slicerCache" Target="slicerCaches/slicerCache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5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microsoft.com/office/2007/relationships/slicerCache" Target="slicerCaches/slicerCache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microsoft.com/office/2007/relationships/slicerCache" Target="slicerCaches/slicerCache4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5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microsoft.com/office/2007/relationships/slicerCache" Target="slicerCaches/slicerCache6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reporte de avances.xlsx]Analisis!TablaDinámica22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rgbClr val="394C77"/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solidFill>
                  <a:srgbClr val="394C77"/>
                </a:solidFill>
              </a:rPr>
              <a:t>Avance por Épica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rgbClr val="394C77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C2E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267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Analisis!$C$3</c:f>
              <c:strCache>
                <c:ptCount val="1"/>
                <c:pt idx="0">
                  <c:v>Total HUs</c:v>
                </c:pt>
              </c:strCache>
            </c:strRef>
          </c:tx>
          <c:spPr>
            <a:solidFill>
              <a:srgbClr val="1C2E4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Analisis!$B$4:$B$9</c:f>
              <c:strCache>
                <c:ptCount val="5"/>
                <c:pt idx="0">
                  <c:v>Comunicados</c:v>
                </c:pt>
                <c:pt idx="1">
                  <c:v>Dashboard General</c:v>
                </c:pt>
                <c:pt idx="2">
                  <c:v>Home Gerencia</c:v>
                </c:pt>
                <c:pt idx="3">
                  <c:v>Mi Asistencia</c:v>
                </c:pt>
                <c:pt idx="4">
                  <c:v>Autenticación y Seguridad</c:v>
                </c:pt>
              </c:strCache>
            </c:strRef>
          </c:cat>
          <c:val>
            <c:numRef>
              <c:f>Analisis!$C$4:$C$9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11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2-4510-887C-5AB667AF44E7}"/>
            </c:ext>
          </c:extLst>
        </c:ser>
        <c:ser>
          <c:idx val="1"/>
          <c:order val="1"/>
          <c:tx>
            <c:strRef>
              <c:f>Analisis!$D$3</c:f>
              <c:strCache>
                <c:ptCount val="1"/>
                <c:pt idx="0">
                  <c:v>HUs Completadas</c:v>
                </c:pt>
              </c:strCache>
            </c:strRef>
          </c:tx>
          <c:spPr>
            <a:solidFill>
              <a:srgbClr val="5267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Analisis!$B$4:$B$9</c:f>
              <c:strCache>
                <c:ptCount val="5"/>
                <c:pt idx="0">
                  <c:v>Comunicados</c:v>
                </c:pt>
                <c:pt idx="1">
                  <c:v>Dashboard General</c:v>
                </c:pt>
                <c:pt idx="2">
                  <c:v>Home Gerencia</c:v>
                </c:pt>
                <c:pt idx="3">
                  <c:v>Mi Asistencia</c:v>
                </c:pt>
                <c:pt idx="4">
                  <c:v>Autenticación y Seguridad</c:v>
                </c:pt>
              </c:strCache>
            </c:strRef>
          </c:cat>
          <c:val>
            <c:numRef>
              <c:f>Analisis!$D$4:$D$9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52-4510-887C-5AB667AF44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255372176"/>
        <c:axId val="1255372536"/>
      </c:barChart>
      <c:catAx>
        <c:axId val="12553721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rgbClr val="324368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55372536"/>
        <c:crosses val="autoZero"/>
        <c:auto val="1"/>
        <c:lblAlgn val="ctr"/>
        <c:lblOffset val="100"/>
        <c:noMultiLvlLbl val="0"/>
      </c:catAx>
      <c:valAx>
        <c:axId val="1255372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537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rgbClr val="9D94B6"/>
      </a:solidFill>
      <a:round/>
    </a:ln>
    <a:effectLst>
      <a:outerShdw blurRad="76200" dist="50800" dir="5400000" algn="ctr" rotWithShape="0">
        <a:srgbClr val="5D617D"/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reporte de avances.xlsx]Analisis!TablaDinámica23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394C77"/>
                </a:solidFill>
              </a:rPr>
              <a:t> ESTADO</a:t>
            </a:r>
            <a:r>
              <a:rPr lang="en-US" sz="1200" baseline="0">
                <a:solidFill>
                  <a:srgbClr val="394C77"/>
                </a:solidFill>
              </a:rPr>
              <a:t> POR COLABORADOR</a:t>
            </a:r>
            <a:endParaRPr lang="en-US" sz="1200">
              <a:solidFill>
                <a:srgbClr val="394C77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>
                <a:alpha val="75000"/>
              </a:sysClr>
            </a:solidFill>
            <a:ln w="9525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5"/>
        <c:spPr>
          <a:solidFill>
            <a:srgbClr val="3A609F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7"/>
        <c:spPr>
          <a:solidFill>
            <a:srgbClr val="D1CFC9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9"/>
        <c:spPr>
          <a:solidFill>
            <a:srgbClr val="A2BDE8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0"/>
        <c:spPr>
          <a:solidFill>
            <a:srgbClr val="737AB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1"/>
        <c:spPr>
          <a:solidFill>
            <a:srgbClr val="373B5A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2"/>
        <c:spPr>
          <a:solidFill>
            <a:srgbClr val="4E4177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3"/>
        <c:spPr>
          <a:solidFill>
            <a:srgbClr val="394C77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4"/>
        <c:spPr>
          <a:solidFill>
            <a:srgbClr val="9D94B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6"/>
        <c:spPr>
          <a:solidFill>
            <a:srgbClr val="394C77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9"/>
        <c:spPr>
          <a:solidFill>
            <a:srgbClr val="5D617D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0"/>
        <c:spPr>
          <a:solidFill>
            <a:srgbClr val="669FE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Analisis!$C$14:$C$15</c:f>
              <c:strCache>
                <c:ptCount val="1"/>
                <c:pt idx="0">
                  <c:v>Completada</c:v>
                </c:pt>
              </c:strCache>
            </c:strRef>
          </c:tx>
          <c:dPt>
            <c:idx val="0"/>
            <c:bubble3D val="0"/>
            <c:spPr>
              <a:solidFill>
                <a:srgbClr val="3A609F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8D-4296-9361-6B9A1F27D5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8D-4296-9361-6B9A1F27D5CF}"/>
              </c:ext>
            </c:extLst>
          </c:dPt>
          <c:dPt>
            <c:idx val="2"/>
            <c:bubble3D val="0"/>
            <c:spPr>
              <a:solidFill>
                <a:srgbClr val="D1CFC9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E8D-4296-9361-6B9A1F27D5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E8D-4296-9361-6B9A1F27D5CF}"/>
              </c:ext>
            </c:extLst>
          </c:dPt>
          <c:dPt>
            <c:idx val="4"/>
            <c:bubble3D val="0"/>
            <c:spPr>
              <a:solidFill>
                <a:srgbClr val="A2BDE8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E8D-4296-9361-6B9A1F27D5CF}"/>
              </c:ext>
            </c:extLst>
          </c:dPt>
          <c:dPt>
            <c:idx val="5"/>
            <c:bubble3D val="0"/>
            <c:spPr>
              <a:solidFill>
                <a:srgbClr val="737AB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E8D-4296-9361-6B9A1F27D5CF}"/>
              </c:ext>
            </c:extLst>
          </c:dPt>
          <c:dPt>
            <c:idx val="6"/>
            <c:bubble3D val="0"/>
            <c:spPr>
              <a:solidFill>
                <a:srgbClr val="373B5A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E8D-4296-9361-6B9A1F27D5CF}"/>
              </c:ext>
            </c:extLst>
          </c:dPt>
          <c:dPt>
            <c:idx val="7"/>
            <c:bubble3D val="0"/>
            <c:spPr>
              <a:solidFill>
                <a:srgbClr val="4E4177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E8D-4296-9361-6B9A1F27D5CF}"/>
              </c:ext>
            </c:extLst>
          </c:dPt>
          <c:dPt>
            <c:idx val="8"/>
            <c:bubble3D val="0"/>
            <c:spPr>
              <a:solidFill>
                <a:srgbClr val="394C77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E8D-4296-9361-6B9A1F27D5CF}"/>
              </c:ext>
            </c:extLst>
          </c:dPt>
          <c:dPt>
            <c:idx val="9"/>
            <c:bubble3D val="0"/>
            <c:spPr>
              <a:solidFill>
                <a:srgbClr val="9D94B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E8D-4296-9361-6B9A1F27D5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E8D-4296-9361-6B9A1F27D5CF}"/>
              </c:ext>
            </c:extLst>
          </c:dPt>
          <c:dPt>
            <c:idx val="11"/>
            <c:bubble3D val="0"/>
            <c:spPr>
              <a:solidFill>
                <a:srgbClr val="394C77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E8D-4296-9361-6B9A1F27D5C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E8D-4296-9361-6B9A1F27D5C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E8D-4296-9361-6B9A1F27D5CF}"/>
              </c:ext>
            </c:extLst>
          </c:dPt>
          <c:dPt>
            <c:idx val="14"/>
            <c:bubble3D val="0"/>
            <c:spPr>
              <a:solidFill>
                <a:srgbClr val="5D617D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E8D-4296-9361-6B9A1F27D5CF}"/>
              </c:ext>
            </c:extLst>
          </c:dPt>
          <c:dPt>
            <c:idx val="15"/>
            <c:bubble3D val="0"/>
            <c:spPr>
              <a:solidFill>
                <a:srgbClr val="669FE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E8D-4296-9361-6B9A1F27D5CF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Analisis!$B$16:$B$32</c:f>
              <c:strCache>
                <c:ptCount val="16"/>
                <c:pt idx="0">
                  <c:v>Alejandro Vargas</c:v>
                </c:pt>
                <c:pt idx="1">
                  <c:v>Camila Fernández</c:v>
                </c:pt>
                <c:pt idx="2">
                  <c:v>Diego Morales</c:v>
                </c:pt>
                <c:pt idx="3">
                  <c:v>Fernanda León</c:v>
                </c:pt>
                <c:pt idx="4">
                  <c:v>Gabriel Torres</c:v>
                </c:pt>
                <c:pt idx="5">
                  <c:v>Isabel Reyes</c:v>
                </c:pt>
                <c:pt idx="6">
                  <c:v>Javier Castillo</c:v>
                </c:pt>
                <c:pt idx="7">
                  <c:v>Karina Méndez</c:v>
                </c:pt>
                <c:pt idx="8">
                  <c:v>Luis Santana</c:v>
                </c:pt>
                <c:pt idx="9">
                  <c:v>Mariana Paredes</c:v>
                </c:pt>
                <c:pt idx="10">
                  <c:v>Nicolás Fuentes</c:v>
                </c:pt>
                <c:pt idx="11">
                  <c:v>Olivia Salazar</c:v>
                </c:pt>
                <c:pt idx="12">
                  <c:v>Pablo Núñez</c:v>
                </c:pt>
                <c:pt idx="13">
                  <c:v>Romina Castro</c:v>
                </c:pt>
                <c:pt idx="14">
                  <c:v>Santiago Peña</c:v>
                </c:pt>
                <c:pt idx="15">
                  <c:v>Valeria Muñoz</c:v>
                </c:pt>
              </c:strCache>
            </c:strRef>
          </c:cat>
          <c:val>
            <c:numRef>
              <c:f>Analisis!$C$16:$C$32</c:f>
              <c:numCache>
                <c:formatCode>General</c:formatCode>
                <c:ptCount val="16"/>
                <c:pt idx="0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E8D-4296-9361-6B9A1F27D5CF}"/>
            </c:ext>
          </c:extLst>
        </c:ser>
        <c:ser>
          <c:idx val="1"/>
          <c:order val="1"/>
          <c:tx>
            <c:strRef>
              <c:f>Analisis!$D$14:$D$15</c:f>
              <c:strCache>
                <c:ptCount val="1"/>
                <c:pt idx="0">
                  <c:v>En Progreso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F07-4BC7-AA87-BBB48DD9DC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5F07-4BC7-AA87-BBB48DD9DC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5F07-4BC7-AA87-BBB48DD9DC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5F07-4BC7-AA87-BBB48DD9DC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5F07-4BC7-AA87-BBB48DD9DC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5F07-4BC7-AA87-BBB48DD9DC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5F07-4BC7-AA87-BBB48DD9DC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5F07-4BC7-AA87-BBB48DD9DC9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5F07-4BC7-AA87-BBB48DD9DC9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5F07-4BC7-AA87-BBB48DD9DC9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5F07-4BC7-AA87-BBB48DD9DC9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5F07-4BC7-AA87-BBB48DD9DC9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5F07-4BC7-AA87-BBB48DD9DC9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5F07-4BC7-AA87-BBB48DD9DC9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5F07-4BC7-AA87-BBB48DD9DC9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5F07-4BC7-AA87-BBB48DD9DC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Analisis!$B$16:$B$32</c:f>
              <c:strCache>
                <c:ptCount val="16"/>
                <c:pt idx="0">
                  <c:v>Alejandro Vargas</c:v>
                </c:pt>
                <c:pt idx="1">
                  <c:v>Camila Fernández</c:v>
                </c:pt>
                <c:pt idx="2">
                  <c:v>Diego Morales</c:v>
                </c:pt>
                <c:pt idx="3">
                  <c:v>Fernanda León</c:v>
                </c:pt>
                <c:pt idx="4">
                  <c:v>Gabriel Torres</c:v>
                </c:pt>
                <c:pt idx="5">
                  <c:v>Isabel Reyes</c:v>
                </c:pt>
                <c:pt idx="6">
                  <c:v>Javier Castillo</c:v>
                </c:pt>
                <c:pt idx="7">
                  <c:v>Karina Méndez</c:v>
                </c:pt>
                <c:pt idx="8">
                  <c:v>Luis Santana</c:v>
                </c:pt>
                <c:pt idx="9">
                  <c:v>Mariana Paredes</c:v>
                </c:pt>
                <c:pt idx="10">
                  <c:v>Nicolás Fuentes</c:v>
                </c:pt>
                <c:pt idx="11">
                  <c:v>Olivia Salazar</c:v>
                </c:pt>
                <c:pt idx="12">
                  <c:v>Pablo Núñez</c:v>
                </c:pt>
                <c:pt idx="13">
                  <c:v>Romina Castro</c:v>
                </c:pt>
                <c:pt idx="14">
                  <c:v>Santiago Peña</c:v>
                </c:pt>
                <c:pt idx="15">
                  <c:v>Valeria Muñoz</c:v>
                </c:pt>
              </c:strCache>
            </c:strRef>
          </c:cat>
          <c:val>
            <c:numRef>
              <c:f>Analisis!$D$16:$D$32</c:f>
              <c:numCache>
                <c:formatCode>General</c:formatCode>
                <c:ptCount val="16"/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7">
                  <c:v>2</c:v>
                </c:pt>
                <c:pt idx="9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5AFC-4AB8-A4CD-78EDAD9FA0FA}"/>
            </c:ext>
          </c:extLst>
        </c:ser>
        <c:ser>
          <c:idx val="2"/>
          <c:order val="2"/>
          <c:tx>
            <c:strRef>
              <c:f>Analisis!$E$14:$E$15</c:f>
              <c:strCache>
                <c:ptCount val="1"/>
                <c:pt idx="0">
                  <c:v>Pendiente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5F07-4BC7-AA87-BBB48DD9DC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5F07-4BC7-AA87-BBB48DD9DC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5F07-4BC7-AA87-BBB48DD9DC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5F07-4BC7-AA87-BBB48DD9DC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5F07-4BC7-AA87-BBB48DD9DC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5F07-4BC7-AA87-BBB48DD9DC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5F07-4BC7-AA87-BBB48DD9DC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5F07-4BC7-AA87-BBB48DD9DC9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5F07-4BC7-AA87-BBB48DD9DC9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5F07-4BC7-AA87-BBB48DD9DC9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5F07-4BC7-AA87-BBB48DD9DC9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5F07-4BC7-AA87-BBB48DD9DC9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5F07-4BC7-AA87-BBB48DD9DC9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5F07-4BC7-AA87-BBB48DD9DC9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5F07-4BC7-AA87-BBB48DD9DC9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5F07-4BC7-AA87-BBB48DD9DC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Analisis!$B$16:$B$32</c:f>
              <c:strCache>
                <c:ptCount val="16"/>
                <c:pt idx="0">
                  <c:v>Alejandro Vargas</c:v>
                </c:pt>
                <c:pt idx="1">
                  <c:v>Camila Fernández</c:v>
                </c:pt>
                <c:pt idx="2">
                  <c:v>Diego Morales</c:v>
                </c:pt>
                <c:pt idx="3">
                  <c:v>Fernanda León</c:v>
                </c:pt>
                <c:pt idx="4">
                  <c:v>Gabriel Torres</c:v>
                </c:pt>
                <c:pt idx="5">
                  <c:v>Isabel Reyes</c:v>
                </c:pt>
                <c:pt idx="6">
                  <c:v>Javier Castillo</c:v>
                </c:pt>
                <c:pt idx="7">
                  <c:v>Karina Méndez</c:v>
                </c:pt>
                <c:pt idx="8">
                  <c:v>Luis Santana</c:v>
                </c:pt>
                <c:pt idx="9">
                  <c:v>Mariana Paredes</c:v>
                </c:pt>
                <c:pt idx="10">
                  <c:v>Nicolás Fuentes</c:v>
                </c:pt>
                <c:pt idx="11">
                  <c:v>Olivia Salazar</c:v>
                </c:pt>
                <c:pt idx="12">
                  <c:v>Pablo Núñez</c:v>
                </c:pt>
                <c:pt idx="13">
                  <c:v>Romina Castro</c:v>
                </c:pt>
                <c:pt idx="14">
                  <c:v>Santiago Peña</c:v>
                </c:pt>
                <c:pt idx="15">
                  <c:v>Valeria Muñoz</c:v>
                </c:pt>
              </c:strCache>
            </c:strRef>
          </c:cat>
          <c:val>
            <c:numRef>
              <c:f>Analisis!$E$16:$E$32</c:f>
              <c:numCache>
                <c:formatCode>General</c:formatCode>
                <c:ptCount val="16"/>
                <c:pt idx="3">
                  <c:v>1</c:v>
                </c:pt>
                <c:pt idx="10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5AFC-4AB8-A4CD-78EDAD9FA0F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9D94B6"/>
      </a:solidFill>
      <a:round/>
    </a:ln>
    <a:effectLst>
      <a:outerShdw blurRad="50800" dist="50800" dir="5400000" algn="ctr" rotWithShape="0">
        <a:srgbClr val="5D617D"/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reporte de avances.xlsx]Analisis!TablaDinámica24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solidFill>
                  <a:srgbClr val="394C77"/>
                </a:solidFill>
              </a:rPr>
              <a:t>PRODUCTIVIDAD</a:t>
            </a:r>
            <a:r>
              <a:rPr lang="es-PE" sz="1200" b="1" baseline="0">
                <a:solidFill>
                  <a:srgbClr val="394C77"/>
                </a:solidFill>
              </a:rPr>
              <a:t> (Horas Dedicadas)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C2E5F6"/>
              </a:gs>
              <a:gs pos="100000">
                <a:srgbClr val="D8D4E2"/>
              </a:gs>
              <a:gs pos="68000">
                <a:srgbClr val="747898">
                  <a:alpha val="61000"/>
                </a:srgbClr>
              </a:gs>
              <a:gs pos="0">
                <a:srgbClr val="34365A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Analisis!$C$39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C2E5F6"/>
                </a:gs>
                <a:gs pos="100000">
                  <a:srgbClr val="D8D4E2"/>
                </a:gs>
                <a:gs pos="68000">
                  <a:srgbClr val="747898">
                    <a:alpha val="61000"/>
                  </a:srgbClr>
                </a:gs>
                <a:gs pos="0">
                  <a:srgbClr val="34365A"/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Analisis!$B$40:$B$64</c:f>
              <c:strCache>
                <c:ptCount val="24"/>
                <c:pt idx="0">
                  <c:v>1-Nov</c:v>
                </c:pt>
                <c:pt idx="1">
                  <c:v>3-Nov</c:v>
                </c:pt>
                <c:pt idx="2">
                  <c:v>4-Nov</c:v>
                </c:pt>
                <c:pt idx="3">
                  <c:v>5-Nov</c:v>
                </c:pt>
                <c:pt idx="4">
                  <c:v>6-Nov</c:v>
                </c:pt>
                <c:pt idx="5">
                  <c:v>8-Nov</c:v>
                </c:pt>
                <c:pt idx="6">
                  <c:v>9-Nov</c:v>
                </c:pt>
                <c:pt idx="7">
                  <c:v>10-Nov</c:v>
                </c:pt>
                <c:pt idx="8">
                  <c:v>11-Nov</c:v>
                </c:pt>
                <c:pt idx="9">
                  <c:v>12-Nov</c:v>
                </c:pt>
                <c:pt idx="10">
                  <c:v>13-Nov</c:v>
                </c:pt>
                <c:pt idx="11">
                  <c:v>14-Nov</c:v>
                </c:pt>
                <c:pt idx="12">
                  <c:v>15-Nov</c:v>
                </c:pt>
                <c:pt idx="13">
                  <c:v>16-Nov</c:v>
                </c:pt>
                <c:pt idx="14">
                  <c:v>17-Nov</c:v>
                </c:pt>
                <c:pt idx="15">
                  <c:v>18-Nov</c:v>
                </c:pt>
                <c:pt idx="16">
                  <c:v>19-Nov</c:v>
                </c:pt>
                <c:pt idx="17">
                  <c:v>20-Nov</c:v>
                </c:pt>
                <c:pt idx="18">
                  <c:v>21-Nov</c:v>
                </c:pt>
                <c:pt idx="19">
                  <c:v>22-Nov</c:v>
                </c:pt>
                <c:pt idx="20">
                  <c:v>23-Nov</c:v>
                </c:pt>
                <c:pt idx="21">
                  <c:v>24-Nov</c:v>
                </c:pt>
                <c:pt idx="22">
                  <c:v>25-Nov</c:v>
                </c:pt>
                <c:pt idx="23">
                  <c:v>26-Nov</c:v>
                </c:pt>
              </c:strCache>
            </c:strRef>
          </c:cat>
          <c:val>
            <c:numRef>
              <c:f>Analisis!$C$40:$C$64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2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8</c:v>
                </c:pt>
                <c:pt idx="10">
                  <c:v>7</c:v>
                </c:pt>
                <c:pt idx="11">
                  <c:v>3</c:v>
                </c:pt>
                <c:pt idx="12">
                  <c:v>6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6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7-4142-BCB0-3917B7A7F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800832"/>
        <c:axId val="1251802632"/>
      </c:areaChart>
      <c:catAx>
        <c:axId val="125180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51802632"/>
        <c:crosses val="autoZero"/>
        <c:auto val="1"/>
        <c:lblAlgn val="ctr"/>
        <c:lblOffset val="100"/>
        <c:noMultiLvlLbl val="0"/>
      </c:catAx>
      <c:valAx>
        <c:axId val="125180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5180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9D94B6"/>
      </a:solidFill>
      <a:round/>
    </a:ln>
    <a:effectLst>
      <a:outerShdw blurRad="76200" dist="50800" dir="5400000" algn="ctr" rotWithShape="0">
        <a:srgbClr val="5D617D"/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reporte de avances.xlsx]Analisis!TablaDinámica25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solidFill>
                  <a:srgbClr val="394C77"/>
                </a:solidFill>
              </a:rPr>
              <a:t>AVANCE</a:t>
            </a:r>
            <a:r>
              <a:rPr lang="es-PE" sz="1200" b="1" baseline="0">
                <a:solidFill>
                  <a:srgbClr val="394C77"/>
                </a:solidFill>
              </a:rPr>
              <a:t> POR PRIORIDAS</a:t>
            </a:r>
            <a:endParaRPr lang="es-PE" sz="1200" b="1">
              <a:solidFill>
                <a:srgbClr val="394C77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F1A2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ED5C8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DC4D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F1A2B"/>
          </a:solidFill>
          <a:ln>
            <a:noFill/>
          </a:ln>
          <a:effectLst/>
        </c:spP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Analisis!$C$71</c:f>
              <c:strCache>
                <c:ptCount val="1"/>
                <c:pt idx="0">
                  <c:v>Total HUs</c:v>
                </c:pt>
              </c:strCache>
            </c:strRef>
          </c:tx>
          <c:spPr>
            <a:solidFill>
              <a:srgbClr val="0F1A2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ED5C8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Analisis!$B$72:$B$75</c:f>
              <c:strCache>
                <c:ptCount val="3"/>
                <c:pt idx="0">
                  <c:v>Alta</c:v>
                </c:pt>
                <c:pt idx="1">
                  <c:v>Baja</c:v>
                </c:pt>
                <c:pt idx="2">
                  <c:v>Media</c:v>
                </c:pt>
              </c:strCache>
            </c:strRef>
          </c:cat>
          <c:val>
            <c:numRef>
              <c:f>Analisis!$C$72:$C$75</c:f>
              <c:numCache>
                <c:formatCode>General</c:formatCode>
                <c:ptCount val="3"/>
                <c:pt idx="0">
                  <c:v>13</c:v>
                </c:pt>
                <c:pt idx="1">
                  <c:v>6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9-45DE-BDEF-F77EBE98FAE5}"/>
            </c:ext>
          </c:extLst>
        </c:ser>
        <c:ser>
          <c:idx val="1"/>
          <c:order val="1"/>
          <c:tx>
            <c:strRef>
              <c:f>Analisis!$D$71</c:f>
              <c:strCache>
                <c:ptCount val="1"/>
                <c:pt idx="0">
                  <c:v>HUs Completadas</c:v>
                </c:pt>
              </c:strCache>
            </c:strRef>
          </c:tx>
          <c:spPr>
            <a:solidFill>
              <a:srgbClr val="BDC4D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Analisis!$B$72:$B$75</c:f>
              <c:strCache>
                <c:ptCount val="3"/>
                <c:pt idx="0">
                  <c:v>Alta</c:v>
                </c:pt>
                <c:pt idx="1">
                  <c:v>Baja</c:v>
                </c:pt>
                <c:pt idx="2">
                  <c:v>Media</c:v>
                </c:pt>
              </c:strCache>
            </c:strRef>
          </c:cat>
          <c:val>
            <c:numRef>
              <c:f>Analisis!$D$72:$D$75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9-45DE-BDEF-F77EBE98FA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93306048"/>
        <c:axId val="793306408"/>
      </c:barChart>
      <c:catAx>
        <c:axId val="79330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93306408"/>
        <c:crosses val="autoZero"/>
        <c:auto val="1"/>
        <c:lblAlgn val="ctr"/>
        <c:lblOffset val="100"/>
        <c:noMultiLvlLbl val="0"/>
      </c:catAx>
      <c:valAx>
        <c:axId val="79330640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9330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9D94B6"/>
      </a:solidFill>
      <a:round/>
    </a:ln>
    <a:effectLst>
      <a:outerShdw blurRad="76200" dist="50800" dir="5400000" algn="ctr" rotWithShape="0">
        <a:srgbClr val="5D617D"/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reporte de avances.xlsx]Analisis!TablaDinámica26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rgbClr val="394C77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rgbClr val="394C77"/>
                </a:solidFill>
                <a:latin typeface="+mn-lt"/>
                <a:ea typeface="+mn-ea"/>
                <a:cs typeface="+mn-cs"/>
              </a:rPr>
              <a:t>RETRASOS DE HU POR EPICAS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rgbClr val="394C77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F1A2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8D4E2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1A2B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Analisis!$C$81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1A2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8D4E2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Analisis!$B$82:$B$87</c:f>
              <c:strCache>
                <c:ptCount val="5"/>
                <c:pt idx="0">
                  <c:v>Autenticación y Seguridad</c:v>
                </c:pt>
                <c:pt idx="1">
                  <c:v>Comunicados</c:v>
                </c:pt>
                <c:pt idx="2">
                  <c:v>Dashboard General</c:v>
                </c:pt>
                <c:pt idx="3">
                  <c:v>Home Gerencia</c:v>
                </c:pt>
                <c:pt idx="4">
                  <c:v>Mi Asistencia</c:v>
                </c:pt>
              </c:strCache>
            </c:strRef>
          </c:cat>
          <c:val>
            <c:numRef>
              <c:f>Analisis!$C$82:$C$87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5-44BD-A09D-4204DD3B6A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5935424"/>
        <c:axId val="795933264"/>
      </c:barChart>
      <c:catAx>
        <c:axId val="79593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95933264"/>
        <c:crosses val="autoZero"/>
        <c:auto val="1"/>
        <c:lblAlgn val="ctr"/>
        <c:lblOffset val="100"/>
        <c:noMultiLvlLbl val="0"/>
      </c:catAx>
      <c:valAx>
        <c:axId val="79593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9593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9D94B6"/>
      </a:solidFill>
      <a:round/>
    </a:ln>
    <a:effectLst>
      <a:outerShdw blurRad="50800" dist="50800" dir="5400000" algn="ctr" rotWithShape="0">
        <a:srgbClr val="5D617D"/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reporte de avances.xlsx]Analisis!TablaDinámica22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Analisis!$C$3</c:f>
              <c:strCache>
                <c:ptCount val="1"/>
                <c:pt idx="0">
                  <c:v>Total HUs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Analisis!$B$4:$B$9</c:f>
              <c:strCache>
                <c:ptCount val="5"/>
                <c:pt idx="0">
                  <c:v>Comunicados</c:v>
                </c:pt>
                <c:pt idx="1">
                  <c:v>Dashboard General</c:v>
                </c:pt>
                <c:pt idx="2">
                  <c:v>Home Gerencia</c:v>
                </c:pt>
                <c:pt idx="3">
                  <c:v>Mi Asistencia</c:v>
                </c:pt>
                <c:pt idx="4">
                  <c:v>Autenticación y Seguridad</c:v>
                </c:pt>
              </c:strCache>
            </c:strRef>
          </c:cat>
          <c:val>
            <c:numRef>
              <c:f>Analisis!$C$4:$C$9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11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5-41F5-BA03-262AF3CDB97D}"/>
            </c:ext>
          </c:extLst>
        </c:ser>
        <c:ser>
          <c:idx val="1"/>
          <c:order val="1"/>
          <c:tx>
            <c:strRef>
              <c:f>Analisis!$D$3</c:f>
              <c:strCache>
                <c:ptCount val="1"/>
                <c:pt idx="0">
                  <c:v>HUs Completadas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Analisis!$B$4:$B$9</c:f>
              <c:strCache>
                <c:ptCount val="5"/>
                <c:pt idx="0">
                  <c:v>Comunicados</c:v>
                </c:pt>
                <c:pt idx="1">
                  <c:v>Dashboard General</c:v>
                </c:pt>
                <c:pt idx="2">
                  <c:v>Home Gerencia</c:v>
                </c:pt>
                <c:pt idx="3">
                  <c:v>Mi Asistencia</c:v>
                </c:pt>
                <c:pt idx="4">
                  <c:v>Autenticación y Seguridad</c:v>
                </c:pt>
              </c:strCache>
            </c:strRef>
          </c:cat>
          <c:val>
            <c:numRef>
              <c:f>Analisis!$D$4:$D$9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45-41F5-BA03-262AF3CDB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5372176"/>
        <c:axId val="1255372536"/>
      </c:barChart>
      <c:catAx>
        <c:axId val="1255372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55372536"/>
        <c:crosses val="autoZero"/>
        <c:auto val="1"/>
        <c:lblAlgn val="ctr"/>
        <c:lblOffset val="100"/>
        <c:noMultiLvlLbl val="0"/>
      </c:catAx>
      <c:valAx>
        <c:axId val="125537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5537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reporte de avances.xlsx]Analisis!TablaDinámica23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 Estado por Colaborador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Analisis!$C$14:$C$15</c:f>
              <c:strCache>
                <c:ptCount val="1"/>
                <c:pt idx="0">
                  <c:v>Completada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86-40C5-BBCC-06464D2537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86-40C5-BBCC-06464D2537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86-40C5-BBCC-06464D2537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86-40C5-BBCC-06464D2537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786-40C5-BBCC-06464D2537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786-40C5-BBCC-06464D2537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786-40C5-BBCC-06464D25378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786-40C5-BBCC-06464D25378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786-40C5-BBCC-06464D25378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786-40C5-BBCC-06464D25378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786-40C5-BBCC-06464D25378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786-40C5-BBCC-06464D25378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786-40C5-BBCC-06464D25378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786-40C5-BBCC-06464D25378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786-40C5-BBCC-06464D25378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786-40C5-BBCC-06464D253780}"/>
              </c:ext>
            </c:extLst>
          </c:dPt>
          <c:cat>
            <c:strRef>
              <c:f>Analisis!$B$16:$B$32</c:f>
              <c:strCache>
                <c:ptCount val="16"/>
                <c:pt idx="0">
                  <c:v>Alejandro Vargas</c:v>
                </c:pt>
                <c:pt idx="1">
                  <c:v>Camila Fernández</c:v>
                </c:pt>
                <c:pt idx="2">
                  <c:v>Diego Morales</c:v>
                </c:pt>
                <c:pt idx="3">
                  <c:v>Fernanda León</c:v>
                </c:pt>
                <c:pt idx="4">
                  <c:v>Gabriel Torres</c:v>
                </c:pt>
                <c:pt idx="5">
                  <c:v>Isabel Reyes</c:v>
                </c:pt>
                <c:pt idx="6">
                  <c:v>Javier Castillo</c:v>
                </c:pt>
                <c:pt idx="7">
                  <c:v>Karina Méndez</c:v>
                </c:pt>
                <c:pt idx="8">
                  <c:v>Luis Santana</c:v>
                </c:pt>
                <c:pt idx="9">
                  <c:v>Mariana Paredes</c:v>
                </c:pt>
                <c:pt idx="10">
                  <c:v>Nicolás Fuentes</c:v>
                </c:pt>
                <c:pt idx="11">
                  <c:v>Olivia Salazar</c:v>
                </c:pt>
                <c:pt idx="12">
                  <c:v>Pablo Núñez</c:v>
                </c:pt>
                <c:pt idx="13">
                  <c:v>Romina Castro</c:v>
                </c:pt>
                <c:pt idx="14">
                  <c:v>Santiago Peña</c:v>
                </c:pt>
                <c:pt idx="15">
                  <c:v>Valeria Muñoz</c:v>
                </c:pt>
              </c:strCache>
            </c:strRef>
          </c:cat>
          <c:val>
            <c:numRef>
              <c:f>Analisis!$C$16:$C$32</c:f>
              <c:numCache>
                <c:formatCode>General</c:formatCode>
                <c:ptCount val="16"/>
                <c:pt idx="0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3-4D56-A4F1-4CCB574F1587}"/>
            </c:ext>
          </c:extLst>
        </c:ser>
        <c:ser>
          <c:idx val="1"/>
          <c:order val="1"/>
          <c:tx>
            <c:strRef>
              <c:f>Analisis!$D$14:$D$15</c:f>
              <c:strCache>
                <c:ptCount val="1"/>
                <c:pt idx="0">
                  <c:v>En Progreso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B94-401C-8D5E-36F4427360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B94-401C-8D5E-36F4427360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B94-401C-8D5E-36F4427360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B94-401C-8D5E-36F4427360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B94-401C-8D5E-36F4427360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B94-401C-8D5E-36F4427360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B94-401C-8D5E-36F4427360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B94-401C-8D5E-36F4427360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B94-401C-8D5E-36F4427360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B94-401C-8D5E-36F4427360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B94-401C-8D5E-36F4427360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B94-401C-8D5E-36F4427360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B94-401C-8D5E-36F4427360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B94-401C-8D5E-36F4427360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B94-401C-8D5E-36F4427360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B94-401C-8D5E-36F442736097}"/>
              </c:ext>
            </c:extLst>
          </c:dPt>
          <c:cat>
            <c:strRef>
              <c:f>Analisis!$B$16:$B$32</c:f>
              <c:strCache>
                <c:ptCount val="16"/>
                <c:pt idx="0">
                  <c:v>Alejandro Vargas</c:v>
                </c:pt>
                <c:pt idx="1">
                  <c:v>Camila Fernández</c:v>
                </c:pt>
                <c:pt idx="2">
                  <c:v>Diego Morales</c:v>
                </c:pt>
                <c:pt idx="3">
                  <c:v>Fernanda León</c:v>
                </c:pt>
                <c:pt idx="4">
                  <c:v>Gabriel Torres</c:v>
                </c:pt>
                <c:pt idx="5">
                  <c:v>Isabel Reyes</c:v>
                </c:pt>
                <c:pt idx="6">
                  <c:v>Javier Castillo</c:v>
                </c:pt>
                <c:pt idx="7">
                  <c:v>Karina Méndez</c:v>
                </c:pt>
                <c:pt idx="8">
                  <c:v>Luis Santana</c:v>
                </c:pt>
                <c:pt idx="9">
                  <c:v>Mariana Paredes</c:v>
                </c:pt>
                <c:pt idx="10">
                  <c:v>Nicolás Fuentes</c:v>
                </c:pt>
                <c:pt idx="11">
                  <c:v>Olivia Salazar</c:v>
                </c:pt>
                <c:pt idx="12">
                  <c:v>Pablo Núñez</c:v>
                </c:pt>
                <c:pt idx="13">
                  <c:v>Romina Castro</c:v>
                </c:pt>
                <c:pt idx="14">
                  <c:v>Santiago Peña</c:v>
                </c:pt>
                <c:pt idx="15">
                  <c:v>Valeria Muñoz</c:v>
                </c:pt>
              </c:strCache>
            </c:strRef>
          </c:cat>
          <c:val>
            <c:numRef>
              <c:f>Analisis!$D$16:$D$32</c:f>
              <c:numCache>
                <c:formatCode>General</c:formatCode>
                <c:ptCount val="16"/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7">
                  <c:v>2</c:v>
                </c:pt>
                <c:pt idx="9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F786-40C5-BBCC-06464D253780}"/>
            </c:ext>
          </c:extLst>
        </c:ser>
        <c:ser>
          <c:idx val="2"/>
          <c:order val="2"/>
          <c:tx>
            <c:strRef>
              <c:f>Analisis!$E$14:$E$15</c:f>
              <c:strCache>
                <c:ptCount val="1"/>
                <c:pt idx="0">
                  <c:v>Pendiente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B94-401C-8D5E-36F4427360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B94-401C-8D5E-36F4427360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B94-401C-8D5E-36F4427360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B94-401C-8D5E-36F4427360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B94-401C-8D5E-36F4427360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B94-401C-8D5E-36F4427360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B94-401C-8D5E-36F4427360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B94-401C-8D5E-36F4427360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B94-401C-8D5E-36F4427360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B94-401C-8D5E-36F4427360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B94-401C-8D5E-36F4427360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B94-401C-8D5E-36F4427360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B94-401C-8D5E-36F4427360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B94-401C-8D5E-36F4427360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DB94-401C-8D5E-36F4427360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DB94-401C-8D5E-36F442736097}"/>
              </c:ext>
            </c:extLst>
          </c:dPt>
          <c:cat>
            <c:strRef>
              <c:f>Analisis!$B$16:$B$32</c:f>
              <c:strCache>
                <c:ptCount val="16"/>
                <c:pt idx="0">
                  <c:v>Alejandro Vargas</c:v>
                </c:pt>
                <c:pt idx="1">
                  <c:v>Camila Fernández</c:v>
                </c:pt>
                <c:pt idx="2">
                  <c:v>Diego Morales</c:v>
                </c:pt>
                <c:pt idx="3">
                  <c:v>Fernanda León</c:v>
                </c:pt>
                <c:pt idx="4">
                  <c:v>Gabriel Torres</c:v>
                </c:pt>
                <c:pt idx="5">
                  <c:v>Isabel Reyes</c:v>
                </c:pt>
                <c:pt idx="6">
                  <c:v>Javier Castillo</c:v>
                </c:pt>
                <c:pt idx="7">
                  <c:v>Karina Méndez</c:v>
                </c:pt>
                <c:pt idx="8">
                  <c:v>Luis Santana</c:v>
                </c:pt>
                <c:pt idx="9">
                  <c:v>Mariana Paredes</c:v>
                </c:pt>
                <c:pt idx="10">
                  <c:v>Nicolás Fuentes</c:v>
                </c:pt>
                <c:pt idx="11">
                  <c:v>Olivia Salazar</c:v>
                </c:pt>
                <c:pt idx="12">
                  <c:v>Pablo Núñez</c:v>
                </c:pt>
                <c:pt idx="13">
                  <c:v>Romina Castro</c:v>
                </c:pt>
                <c:pt idx="14">
                  <c:v>Santiago Peña</c:v>
                </c:pt>
                <c:pt idx="15">
                  <c:v>Valeria Muñoz</c:v>
                </c:pt>
              </c:strCache>
            </c:strRef>
          </c:cat>
          <c:val>
            <c:numRef>
              <c:f>Analisis!$E$16:$E$32</c:f>
              <c:numCache>
                <c:formatCode>General</c:formatCode>
                <c:ptCount val="16"/>
                <c:pt idx="3">
                  <c:v>1</c:v>
                </c:pt>
                <c:pt idx="10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F786-40C5-BBCC-06464D253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reporte de avances.xlsx]Analisis!TablaDinámica24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Analisis!$C$39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Analisis!$B$40:$B$64</c:f>
              <c:strCache>
                <c:ptCount val="24"/>
                <c:pt idx="0">
                  <c:v>1-Nov</c:v>
                </c:pt>
                <c:pt idx="1">
                  <c:v>3-Nov</c:v>
                </c:pt>
                <c:pt idx="2">
                  <c:v>4-Nov</c:v>
                </c:pt>
                <c:pt idx="3">
                  <c:v>5-Nov</c:v>
                </c:pt>
                <c:pt idx="4">
                  <c:v>6-Nov</c:v>
                </c:pt>
                <c:pt idx="5">
                  <c:v>8-Nov</c:v>
                </c:pt>
                <c:pt idx="6">
                  <c:v>9-Nov</c:v>
                </c:pt>
                <c:pt idx="7">
                  <c:v>10-Nov</c:v>
                </c:pt>
                <c:pt idx="8">
                  <c:v>11-Nov</c:v>
                </c:pt>
                <c:pt idx="9">
                  <c:v>12-Nov</c:v>
                </c:pt>
                <c:pt idx="10">
                  <c:v>13-Nov</c:v>
                </c:pt>
                <c:pt idx="11">
                  <c:v>14-Nov</c:v>
                </c:pt>
                <c:pt idx="12">
                  <c:v>15-Nov</c:v>
                </c:pt>
                <c:pt idx="13">
                  <c:v>16-Nov</c:v>
                </c:pt>
                <c:pt idx="14">
                  <c:v>17-Nov</c:v>
                </c:pt>
                <c:pt idx="15">
                  <c:v>18-Nov</c:v>
                </c:pt>
                <c:pt idx="16">
                  <c:v>19-Nov</c:v>
                </c:pt>
                <c:pt idx="17">
                  <c:v>20-Nov</c:v>
                </c:pt>
                <c:pt idx="18">
                  <c:v>21-Nov</c:v>
                </c:pt>
                <c:pt idx="19">
                  <c:v>22-Nov</c:v>
                </c:pt>
                <c:pt idx="20">
                  <c:v>23-Nov</c:v>
                </c:pt>
                <c:pt idx="21">
                  <c:v>24-Nov</c:v>
                </c:pt>
                <c:pt idx="22">
                  <c:v>25-Nov</c:v>
                </c:pt>
                <c:pt idx="23">
                  <c:v>26-Nov</c:v>
                </c:pt>
              </c:strCache>
            </c:strRef>
          </c:cat>
          <c:val>
            <c:numRef>
              <c:f>Analisis!$C$40:$C$64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2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8</c:v>
                </c:pt>
                <c:pt idx="10">
                  <c:v>7</c:v>
                </c:pt>
                <c:pt idx="11">
                  <c:v>3</c:v>
                </c:pt>
                <c:pt idx="12">
                  <c:v>6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6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D-4930-8D8F-47259EA61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800832"/>
        <c:axId val="1251802632"/>
      </c:lineChart>
      <c:catAx>
        <c:axId val="125180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51802632"/>
        <c:crosses val="autoZero"/>
        <c:auto val="1"/>
        <c:lblAlgn val="ctr"/>
        <c:lblOffset val="100"/>
        <c:noMultiLvlLbl val="0"/>
      </c:catAx>
      <c:valAx>
        <c:axId val="125180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5180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reporte de avances.xlsx]Analisis!TablaDinámica25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Analisis!$C$71</c:f>
              <c:strCache>
                <c:ptCount val="1"/>
                <c:pt idx="0">
                  <c:v>Total HUs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Analisis!$B$72:$B$75</c:f>
              <c:strCache>
                <c:ptCount val="3"/>
                <c:pt idx="0">
                  <c:v>Alta</c:v>
                </c:pt>
                <c:pt idx="1">
                  <c:v>Baja</c:v>
                </c:pt>
                <c:pt idx="2">
                  <c:v>Media</c:v>
                </c:pt>
              </c:strCache>
            </c:strRef>
          </c:cat>
          <c:val>
            <c:numRef>
              <c:f>Analisis!$C$72:$C$75</c:f>
              <c:numCache>
                <c:formatCode>General</c:formatCode>
                <c:ptCount val="3"/>
                <c:pt idx="0">
                  <c:v>13</c:v>
                </c:pt>
                <c:pt idx="1">
                  <c:v>6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8-42C4-BEAF-BD9E8F44EC00}"/>
            </c:ext>
          </c:extLst>
        </c:ser>
        <c:ser>
          <c:idx val="1"/>
          <c:order val="1"/>
          <c:tx>
            <c:strRef>
              <c:f>Analisis!$D$71</c:f>
              <c:strCache>
                <c:ptCount val="1"/>
                <c:pt idx="0">
                  <c:v>HUs Completadas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Analisis!$B$72:$B$75</c:f>
              <c:strCache>
                <c:ptCount val="3"/>
                <c:pt idx="0">
                  <c:v>Alta</c:v>
                </c:pt>
                <c:pt idx="1">
                  <c:v>Baja</c:v>
                </c:pt>
                <c:pt idx="2">
                  <c:v>Media</c:v>
                </c:pt>
              </c:strCache>
            </c:strRef>
          </c:cat>
          <c:val>
            <c:numRef>
              <c:f>Analisis!$D$72:$D$75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8-42C4-BEAF-BD9E8F44E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6048"/>
        <c:axId val="793306408"/>
      </c:barChart>
      <c:catAx>
        <c:axId val="79330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93306408"/>
        <c:crosses val="autoZero"/>
        <c:auto val="1"/>
        <c:lblAlgn val="ctr"/>
        <c:lblOffset val="100"/>
        <c:noMultiLvlLbl val="0"/>
      </c:catAx>
      <c:valAx>
        <c:axId val="79330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9330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reporte de avances.xlsx]Analisis!TablaDinámica26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Analisis!$C$81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Analisis!$B$82:$B$87</c:f>
              <c:strCache>
                <c:ptCount val="5"/>
                <c:pt idx="0">
                  <c:v>Autenticación y Seguridad</c:v>
                </c:pt>
                <c:pt idx="1">
                  <c:v>Comunicados</c:v>
                </c:pt>
                <c:pt idx="2">
                  <c:v>Dashboard General</c:v>
                </c:pt>
                <c:pt idx="3">
                  <c:v>Home Gerencia</c:v>
                </c:pt>
                <c:pt idx="4">
                  <c:v>Mi Asistencia</c:v>
                </c:pt>
              </c:strCache>
            </c:strRef>
          </c:cat>
          <c:val>
            <c:numRef>
              <c:f>Analisis!$C$82:$C$87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B-432F-A44F-61416EB38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935424"/>
        <c:axId val="795933264"/>
      </c:barChart>
      <c:catAx>
        <c:axId val="79593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95933264"/>
        <c:crosses val="autoZero"/>
        <c:auto val="1"/>
        <c:lblAlgn val="ctr"/>
        <c:lblOffset val="100"/>
        <c:noMultiLvlLbl val="0"/>
      </c:catAx>
      <c:valAx>
        <c:axId val="79593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9593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16113</xdr:colOff>
      <xdr:row>6</xdr:row>
      <xdr:rowOff>129886</xdr:rowOff>
    </xdr:from>
    <xdr:to>
      <xdr:col>15</xdr:col>
      <xdr:colOff>9305</xdr:colOff>
      <xdr:row>22</xdr:row>
      <xdr:rowOff>108772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5C6CE1-2FB3-44A9-A856-1E5681CAA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198209</xdr:colOff>
      <xdr:row>6</xdr:row>
      <xdr:rowOff>129886</xdr:rowOff>
    </xdr:from>
    <xdr:to>
      <xdr:col>21</xdr:col>
      <xdr:colOff>194287</xdr:colOff>
      <xdr:row>22</xdr:row>
      <xdr:rowOff>108772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8CD0F7-ECF5-4C75-B985-BCB5FFC6C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14432</xdr:colOff>
      <xdr:row>23</xdr:row>
      <xdr:rowOff>131567</xdr:rowOff>
    </xdr:from>
    <xdr:to>
      <xdr:col>21</xdr:col>
      <xdr:colOff>204932</xdr:colOff>
      <xdr:row>40</xdr:row>
      <xdr:rowOff>163285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AC434F-C5B2-43A9-AD77-48DF53E89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384227</xdr:colOff>
      <xdr:row>6</xdr:row>
      <xdr:rowOff>134928</xdr:rowOff>
    </xdr:from>
    <xdr:to>
      <xdr:col>27</xdr:col>
      <xdr:colOff>380305</xdr:colOff>
      <xdr:row>22</xdr:row>
      <xdr:rowOff>121566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8D3660-F680-4DAA-9385-C2797C2A2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401034</xdr:colOff>
      <xdr:row>23</xdr:row>
      <xdr:rowOff>131090</xdr:rowOff>
    </xdr:from>
    <xdr:to>
      <xdr:col>27</xdr:col>
      <xdr:colOff>395432</xdr:colOff>
      <xdr:row>40</xdr:row>
      <xdr:rowOff>132772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1189BF0-86FE-4258-A49A-D7041AFFB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140056</xdr:colOff>
      <xdr:row>9</xdr:row>
      <xdr:rowOff>72829</xdr:rowOff>
    </xdr:from>
    <xdr:to>
      <xdr:col>8</xdr:col>
      <xdr:colOff>446537</xdr:colOff>
      <xdr:row>19</xdr:row>
      <xdr:rowOff>115454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pica 1">
              <a:extLst>
                <a:ext uri="{FF2B5EF4-FFF2-40B4-BE49-F238E27FC236}">
                  <a16:creationId xmlns:a16="http://schemas.microsoft.com/office/drawing/2014/main" id="{907167E4-8A29-484D-A9F5-79FE862A83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pic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4942" y="2165443"/>
              <a:ext cx="1836254" cy="19187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127865</xdr:colOff>
      <xdr:row>2</xdr:row>
      <xdr:rowOff>68933</xdr:rowOff>
    </xdr:from>
    <xdr:to>
      <xdr:col>8</xdr:col>
      <xdr:colOff>435466</xdr:colOff>
      <xdr:row>8</xdr:row>
      <xdr:rowOff>101023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ioridad 1">
              <a:extLst>
                <a:ext uri="{FF2B5EF4-FFF2-40B4-BE49-F238E27FC236}">
                  <a16:creationId xmlns:a16="http://schemas.microsoft.com/office/drawing/2014/main" id="{524A9458-347F-43FA-8523-7075BA8572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orida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751" y="646206"/>
              <a:ext cx="1837374" cy="13598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132212</xdr:colOff>
      <xdr:row>20</xdr:row>
      <xdr:rowOff>86973</xdr:rowOff>
    </xdr:from>
    <xdr:to>
      <xdr:col>8</xdr:col>
      <xdr:colOff>435331</xdr:colOff>
      <xdr:row>27</xdr:row>
      <xdr:rowOff>129886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EstadoAvance 1">
              <a:extLst>
                <a:ext uri="{FF2B5EF4-FFF2-40B4-BE49-F238E27FC236}">
                  <a16:creationId xmlns:a16="http://schemas.microsoft.com/office/drawing/2014/main" id="{8570AAD1-1D05-44DD-A6CF-2BEBCF8F75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Avanc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7098" y="4243337"/>
              <a:ext cx="1832892" cy="13562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3565030</xdr:colOff>
      <xdr:row>90</xdr:row>
      <xdr:rowOff>21193</xdr:rowOff>
    </xdr:from>
    <xdr:to>
      <xdr:col>8</xdr:col>
      <xdr:colOff>213637</xdr:colOff>
      <xdr:row>103</xdr:row>
      <xdr:rowOff>177057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FechaRegistro (día)">
              <a:extLst>
                <a:ext uri="{FF2B5EF4-FFF2-40B4-BE49-F238E27FC236}">
                  <a16:creationId xmlns:a16="http://schemas.microsoft.com/office/drawing/2014/main" id="{974E5766-A006-CC11-851E-8635E80AB9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Registro (dí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324943"/>
              <a:ext cx="1844263" cy="25948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3666684</xdr:colOff>
      <xdr:row>107</xdr:row>
      <xdr:rowOff>48032</xdr:rowOff>
    </xdr:from>
    <xdr:to>
      <xdr:col>8</xdr:col>
      <xdr:colOff>213636</xdr:colOff>
      <xdr:row>121</xdr:row>
      <xdr:rowOff>16282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DiasRetraso">
              <a:extLst>
                <a:ext uri="{FF2B5EF4-FFF2-40B4-BE49-F238E27FC236}">
                  <a16:creationId xmlns:a16="http://schemas.microsoft.com/office/drawing/2014/main" id="{DB5C3E94-B298-94F4-77B8-D0996056D3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sRetras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541214"/>
              <a:ext cx="1844262" cy="25948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118020</xdr:colOff>
      <xdr:row>28</xdr:row>
      <xdr:rowOff>82912</xdr:rowOff>
    </xdr:from>
    <xdr:to>
      <xdr:col>8</xdr:col>
      <xdr:colOff>427355</xdr:colOff>
      <xdr:row>41</xdr:row>
      <xdr:rowOff>14432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FechaFinEstimada">
              <a:extLst>
                <a:ext uri="{FF2B5EF4-FFF2-40B4-BE49-F238E27FC236}">
                  <a16:creationId xmlns:a16="http://schemas.microsoft.com/office/drawing/2014/main" id="{1E270691-62E2-8AC5-7226-26B4E32DD4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FinEstima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2906" y="5740185"/>
              <a:ext cx="1839108" cy="23704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95</xdr:row>
      <xdr:rowOff>11741</xdr:rowOff>
    </xdr:from>
    <xdr:to>
      <xdr:col>7</xdr:col>
      <xdr:colOff>713886</xdr:colOff>
      <xdr:row>109</xdr:row>
      <xdr:rowOff>85322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16A08E6-E143-D0B2-438C-4D244A29E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253559"/>
          <a:ext cx="1582512" cy="2700172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</xdr:row>
      <xdr:rowOff>0</xdr:rowOff>
    </xdr:from>
    <xdr:to>
      <xdr:col>31</xdr:col>
      <xdr:colOff>759114</xdr:colOff>
      <xdr:row>14</xdr:row>
      <xdr:rowOff>81667</xdr:rowOff>
    </xdr:to>
    <xdr:sp macro="" textlink="H9">
      <xdr:nvSpPr>
        <xdr:cNvPr id="21" name="CuadroTexto 20">
          <a:extLst>
            <a:ext uri="{FF2B5EF4-FFF2-40B4-BE49-F238E27FC236}">
              <a16:creationId xmlns:a16="http://schemas.microsoft.com/office/drawing/2014/main" id="{30D3EDE0-11BD-46A6-9888-52CD73008A04}"/>
            </a:ext>
          </a:extLst>
        </xdr:cNvPr>
        <xdr:cNvSpPr txBox="1"/>
      </xdr:nvSpPr>
      <xdr:spPr>
        <a:xfrm>
          <a:off x="19122159" y="2092614"/>
          <a:ext cx="1524000" cy="101973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FFB1E539-7B61-4539-9133-70279C35BF04}" type="TxLink">
            <a:rPr kumimoji="0" lang="en-US" sz="1100" b="0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 </a:t>
          </a:fld>
          <a:endParaRPr kumimoji="0" lang="es-P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562843</xdr:colOff>
      <xdr:row>2</xdr:row>
      <xdr:rowOff>57727</xdr:rowOff>
    </xdr:from>
    <xdr:to>
      <xdr:col>16</xdr:col>
      <xdr:colOff>57726</xdr:colOff>
      <xdr:row>5</xdr:row>
      <xdr:rowOff>101023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AEB5D540-351C-C396-48C5-FEA50B348EE1}"/>
            </a:ext>
          </a:extLst>
        </xdr:cNvPr>
        <xdr:cNvSpPr/>
      </xdr:nvSpPr>
      <xdr:spPr>
        <a:xfrm>
          <a:off x="9741479" y="635000"/>
          <a:ext cx="2554429" cy="80818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rgbClr val="747898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635002</xdr:colOff>
      <xdr:row>2</xdr:row>
      <xdr:rowOff>115453</xdr:rowOff>
    </xdr:from>
    <xdr:to>
      <xdr:col>15</xdr:col>
      <xdr:colOff>729969</xdr:colOff>
      <xdr:row>3</xdr:row>
      <xdr:rowOff>129886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63B90E3C-745B-577D-0368-7C9039CAE2D8}"/>
            </a:ext>
          </a:extLst>
        </xdr:cNvPr>
        <xdr:cNvSpPr txBox="1"/>
      </xdr:nvSpPr>
      <xdr:spPr>
        <a:xfrm>
          <a:off x="9813638" y="692726"/>
          <a:ext cx="2389626" cy="3030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600" b="1">
              <a:solidFill>
                <a:srgbClr val="394C77"/>
              </a:solidFill>
            </a:rPr>
            <a:t>Total Hus:</a:t>
          </a:r>
        </a:p>
      </xdr:txBody>
    </xdr:sp>
    <xdr:clientData/>
  </xdr:twoCellAnchor>
  <xdr:twoCellAnchor>
    <xdr:from>
      <xdr:col>12</xdr:col>
      <xdr:colOff>606138</xdr:colOff>
      <xdr:row>3</xdr:row>
      <xdr:rowOff>129887</xdr:rowOff>
    </xdr:from>
    <xdr:to>
      <xdr:col>15</xdr:col>
      <xdr:colOff>717588</xdr:colOff>
      <xdr:row>5</xdr:row>
      <xdr:rowOff>28864</xdr:rowOff>
    </xdr:to>
    <xdr:sp macro="" textlink="$B$14">
      <xdr:nvSpPr>
        <xdr:cNvPr id="25" name="CuadroTexto 24">
          <a:extLst>
            <a:ext uri="{FF2B5EF4-FFF2-40B4-BE49-F238E27FC236}">
              <a16:creationId xmlns:a16="http://schemas.microsoft.com/office/drawing/2014/main" id="{5E8C6F40-C8F5-452F-AC9D-3851C486C8F6}"/>
            </a:ext>
          </a:extLst>
        </xdr:cNvPr>
        <xdr:cNvSpPr txBox="1"/>
      </xdr:nvSpPr>
      <xdr:spPr>
        <a:xfrm>
          <a:off x="9784774" y="995796"/>
          <a:ext cx="2406109" cy="375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CED957B-1616-468E-9F98-D7070965F77E}" type="TxLink">
            <a:rPr lang="en-US" sz="2800" b="1" i="0" u="none" strike="noStrike">
              <a:solidFill>
                <a:srgbClr val="394C77"/>
              </a:solidFill>
              <a:latin typeface="Aptos Narrow"/>
              <a:ea typeface="+mn-ea"/>
              <a:cs typeface="+mn-cs"/>
            </a:rPr>
            <a:pPr marL="0" indent="0" algn="ctr"/>
            <a:t>30</a:t>
          </a:fld>
          <a:endParaRPr lang="en-US" sz="2800" b="1" i="0" u="none" strike="noStrike">
            <a:solidFill>
              <a:srgbClr val="394C7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317501</xdr:colOff>
      <xdr:row>2</xdr:row>
      <xdr:rowOff>57728</xdr:rowOff>
    </xdr:from>
    <xdr:to>
      <xdr:col>19</xdr:col>
      <xdr:colOff>649432</xdr:colOff>
      <xdr:row>5</xdr:row>
      <xdr:rowOff>101024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BEEEDF1B-8F37-468C-8E8A-0DDC9A46A6CF}"/>
            </a:ext>
          </a:extLst>
        </xdr:cNvPr>
        <xdr:cNvSpPr/>
      </xdr:nvSpPr>
      <xdr:spPr>
        <a:xfrm>
          <a:off x="12555683" y="635001"/>
          <a:ext cx="2626590" cy="80818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rgbClr val="747898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389659</xdr:colOff>
      <xdr:row>2</xdr:row>
      <xdr:rowOff>115454</xdr:rowOff>
    </xdr:from>
    <xdr:to>
      <xdr:col>19</xdr:col>
      <xdr:colOff>552132</xdr:colOff>
      <xdr:row>3</xdr:row>
      <xdr:rowOff>129887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2164E214-E833-46B7-8224-E5B7D613D9C5}"/>
            </a:ext>
          </a:extLst>
        </xdr:cNvPr>
        <xdr:cNvSpPr txBox="1"/>
      </xdr:nvSpPr>
      <xdr:spPr>
        <a:xfrm>
          <a:off x="12627841" y="692727"/>
          <a:ext cx="2457132" cy="3030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600" b="1">
              <a:solidFill>
                <a:srgbClr val="394C77"/>
              </a:solidFill>
            </a:rPr>
            <a:t>Hus Completadas:</a:t>
          </a:r>
        </a:p>
      </xdr:txBody>
    </xdr:sp>
    <xdr:clientData/>
  </xdr:twoCellAnchor>
  <xdr:twoCellAnchor>
    <xdr:from>
      <xdr:col>16</xdr:col>
      <xdr:colOff>360795</xdr:colOff>
      <xdr:row>3</xdr:row>
      <xdr:rowOff>129888</xdr:rowOff>
    </xdr:from>
    <xdr:to>
      <xdr:col>19</xdr:col>
      <xdr:colOff>540216</xdr:colOff>
      <xdr:row>5</xdr:row>
      <xdr:rowOff>28865</xdr:rowOff>
    </xdr:to>
    <xdr:sp macro="" textlink="C14">
      <xdr:nvSpPr>
        <xdr:cNvPr id="28" name="CuadroTexto 27">
          <a:extLst>
            <a:ext uri="{FF2B5EF4-FFF2-40B4-BE49-F238E27FC236}">
              <a16:creationId xmlns:a16="http://schemas.microsoft.com/office/drawing/2014/main" id="{BBB073B8-7281-417E-95AE-F52422081FBC}"/>
            </a:ext>
          </a:extLst>
        </xdr:cNvPr>
        <xdr:cNvSpPr txBox="1"/>
      </xdr:nvSpPr>
      <xdr:spPr>
        <a:xfrm>
          <a:off x="12598977" y="995797"/>
          <a:ext cx="2474080" cy="375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2AC1CCB-A839-4D91-8422-A4D2C24A432D}" type="TxLink">
            <a:rPr lang="en-US" sz="2800" b="1" i="0" u="none" strike="noStrike">
              <a:solidFill>
                <a:srgbClr val="394C77"/>
              </a:solidFill>
              <a:latin typeface="Aptos Narrow"/>
              <a:ea typeface="+mn-ea"/>
              <a:cs typeface="+mn-cs"/>
            </a:rPr>
            <a:pPr marL="0" indent="0" algn="ctr"/>
            <a:t>15</a:t>
          </a:fld>
          <a:endParaRPr lang="es-PE" sz="2800" b="1" i="0" u="none" strike="noStrike">
            <a:solidFill>
              <a:srgbClr val="394C7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28864</xdr:colOff>
      <xdr:row>2</xdr:row>
      <xdr:rowOff>43295</xdr:rowOff>
    </xdr:from>
    <xdr:to>
      <xdr:col>12</xdr:col>
      <xdr:colOff>303069</xdr:colOff>
      <xdr:row>5</xdr:row>
      <xdr:rowOff>86591</xdr:rowOff>
    </xdr:to>
    <xdr:sp macro="" textlink="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4C75CA5E-0225-44D5-BF2F-3155647552AF}"/>
            </a:ext>
          </a:extLst>
        </xdr:cNvPr>
        <xdr:cNvSpPr/>
      </xdr:nvSpPr>
      <xdr:spPr>
        <a:xfrm>
          <a:off x="6912841" y="620568"/>
          <a:ext cx="2568864" cy="80818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rgbClr val="747898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101022</xdr:colOff>
      <xdr:row>2</xdr:row>
      <xdr:rowOff>101021</xdr:rowOff>
    </xdr:from>
    <xdr:to>
      <xdr:col>12</xdr:col>
      <xdr:colOff>209493</xdr:colOff>
      <xdr:row>3</xdr:row>
      <xdr:rowOff>115454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51FA51FC-A4E8-4DE6-91D0-E52F08C9814D}"/>
            </a:ext>
          </a:extLst>
        </xdr:cNvPr>
        <xdr:cNvSpPr txBox="1"/>
      </xdr:nvSpPr>
      <xdr:spPr>
        <a:xfrm>
          <a:off x="6984999" y="678294"/>
          <a:ext cx="2403130" cy="3030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600" b="1">
              <a:solidFill>
                <a:srgbClr val="394C77"/>
              </a:solidFill>
            </a:rPr>
            <a:t>Avance General:</a:t>
          </a:r>
        </a:p>
      </xdr:txBody>
    </xdr:sp>
    <xdr:clientData/>
  </xdr:twoCellAnchor>
  <xdr:twoCellAnchor>
    <xdr:from>
      <xdr:col>9</xdr:col>
      <xdr:colOff>72158</xdr:colOff>
      <xdr:row>3</xdr:row>
      <xdr:rowOff>115455</xdr:rowOff>
    </xdr:from>
    <xdr:to>
      <xdr:col>12</xdr:col>
      <xdr:colOff>197205</xdr:colOff>
      <xdr:row>5</xdr:row>
      <xdr:rowOff>14432</xdr:rowOff>
    </xdr:to>
    <xdr:sp macro="" textlink="B13">
      <xdr:nvSpPr>
        <xdr:cNvPr id="31" name="CuadroTexto 30">
          <a:extLst>
            <a:ext uri="{FF2B5EF4-FFF2-40B4-BE49-F238E27FC236}">
              <a16:creationId xmlns:a16="http://schemas.microsoft.com/office/drawing/2014/main" id="{391C32E5-3AB9-49C4-987F-0D617B0511E7}"/>
            </a:ext>
          </a:extLst>
        </xdr:cNvPr>
        <xdr:cNvSpPr txBox="1"/>
      </xdr:nvSpPr>
      <xdr:spPr>
        <a:xfrm>
          <a:off x="6956135" y="981364"/>
          <a:ext cx="2419706" cy="375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91974F2-E18D-4417-8FFD-5CD5C5C18859}" type="TxLink">
            <a:rPr lang="en-US" sz="2800" b="1" i="0" u="none" strike="noStrike">
              <a:solidFill>
                <a:srgbClr val="394C77"/>
              </a:solidFill>
              <a:latin typeface="Aptos Narrow"/>
              <a:ea typeface="+mn-ea"/>
              <a:cs typeface="+mn-cs"/>
            </a:rPr>
            <a:pPr marL="0" indent="0" algn="ctr"/>
            <a:t>50.00%</a:t>
          </a:fld>
          <a:endParaRPr lang="es-PE" sz="2800" b="1" i="0" u="none" strike="noStrike">
            <a:solidFill>
              <a:srgbClr val="394C7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158749</xdr:colOff>
      <xdr:row>2</xdr:row>
      <xdr:rowOff>57727</xdr:rowOff>
    </xdr:from>
    <xdr:to>
      <xdr:col>23</xdr:col>
      <xdr:colOff>461817</xdr:colOff>
      <xdr:row>5</xdr:row>
      <xdr:rowOff>101023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AF9A53CA-F568-46B2-9ACA-A23BD9DDAC0B}"/>
            </a:ext>
          </a:extLst>
        </xdr:cNvPr>
        <xdr:cNvSpPr/>
      </xdr:nvSpPr>
      <xdr:spPr>
        <a:xfrm>
          <a:off x="15456476" y="635000"/>
          <a:ext cx="2597727" cy="80818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rgbClr val="747898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20</xdr:col>
      <xdr:colOff>230908</xdr:colOff>
      <xdr:row>2</xdr:row>
      <xdr:rowOff>144318</xdr:rowOff>
    </xdr:from>
    <xdr:to>
      <xdr:col>23</xdr:col>
      <xdr:colOff>389659</xdr:colOff>
      <xdr:row>3</xdr:row>
      <xdr:rowOff>129886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55B5B647-B662-4A29-8F2A-576AF95ADB48}"/>
            </a:ext>
          </a:extLst>
        </xdr:cNvPr>
        <xdr:cNvSpPr txBox="1"/>
      </xdr:nvSpPr>
      <xdr:spPr>
        <a:xfrm>
          <a:off x="15528635" y="721591"/>
          <a:ext cx="2453410" cy="2742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600" b="1">
              <a:solidFill>
                <a:srgbClr val="394C77"/>
              </a:solidFill>
            </a:rPr>
            <a:t>Total Puntos</a:t>
          </a:r>
          <a:r>
            <a:rPr lang="es-PE" sz="1600" b="1" baseline="0">
              <a:solidFill>
                <a:srgbClr val="394C77"/>
              </a:solidFill>
            </a:rPr>
            <a:t> Estimados</a:t>
          </a:r>
          <a:r>
            <a:rPr lang="es-PE" sz="1600" b="1">
              <a:solidFill>
                <a:srgbClr val="394C77"/>
              </a:solidFill>
            </a:rPr>
            <a:t>:</a:t>
          </a:r>
        </a:p>
      </xdr:txBody>
    </xdr:sp>
    <xdr:clientData/>
  </xdr:twoCellAnchor>
  <xdr:twoCellAnchor>
    <xdr:from>
      <xdr:col>20</xdr:col>
      <xdr:colOff>202044</xdr:colOff>
      <xdr:row>3</xdr:row>
      <xdr:rowOff>129887</xdr:rowOff>
    </xdr:from>
    <xdr:to>
      <xdr:col>23</xdr:col>
      <xdr:colOff>392866</xdr:colOff>
      <xdr:row>5</xdr:row>
      <xdr:rowOff>28864</xdr:rowOff>
    </xdr:to>
    <xdr:sp macro="" textlink="C52">
      <xdr:nvSpPr>
        <xdr:cNvPr id="34" name="CuadroTexto 33">
          <a:extLst>
            <a:ext uri="{FF2B5EF4-FFF2-40B4-BE49-F238E27FC236}">
              <a16:creationId xmlns:a16="http://schemas.microsoft.com/office/drawing/2014/main" id="{45576308-83FF-4933-94D9-70F04D17BB79}"/>
            </a:ext>
          </a:extLst>
        </xdr:cNvPr>
        <xdr:cNvSpPr txBox="1"/>
      </xdr:nvSpPr>
      <xdr:spPr>
        <a:xfrm>
          <a:off x="15499771" y="995796"/>
          <a:ext cx="2485481" cy="375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1DA8D90-E50D-40CA-AA31-00AD826A0512}" type="TxLink">
            <a:rPr lang="en-US" sz="2800" b="1" i="0" u="none" strike="noStrike">
              <a:solidFill>
                <a:srgbClr val="394C77"/>
              </a:solidFill>
              <a:latin typeface="Aptos Narrow"/>
              <a:ea typeface="+mn-ea"/>
              <a:cs typeface="+mn-cs"/>
            </a:rPr>
            <a:pPr marL="0" indent="0" algn="ctr"/>
            <a:t>120</a:t>
          </a:fld>
          <a:endParaRPr lang="es-PE" sz="2800" b="1" i="0" u="none" strike="noStrike">
            <a:solidFill>
              <a:srgbClr val="394C7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28864</xdr:colOff>
      <xdr:row>2</xdr:row>
      <xdr:rowOff>51376</xdr:rowOff>
    </xdr:from>
    <xdr:to>
      <xdr:col>27</xdr:col>
      <xdr:colOff>368876</xdr:colOff>
      <xdr:row>5</xdr:row>
      <xdr:rowOff>94672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96430369-3C95-44C1-A492-646EF3EACBEB}"/>
            </a:ext>
          </a:extLst>
        </xdr:cNvPr>
        <xdr:cNvSpPr/>
      </xdr:nvSpPr>
      <xdr:spPr>
        <a:xfrm>
          <a:off x="18386137" y="628649"/>
          <a:ext cx="2634671" cy="80818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rgbClr val="747898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117507</xdr:colOff>
      <xdr:row>2</xdr:row>
      <xdr:rowOff>137967</xdr:rowOff>
    </xdr:from>
    <xdr:to>
      <xdr:col>27</xdr:col>
      <xdr:colOff>311150</xdr:colOff>
      <xdr:row>3</xdr:row>
      <xdr:rowOff>123535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088EF942-C85A-435E-B059-C2B628F5D007}"/>
            </a:ext>
          </a:extLst>
        </xdr:cNvPr>
        <xdr:cNvSpPr txBox="1"/>
      </xdr:nvSpPr>
      <xdr:spPr>
        <a:xfrm>
          <a:off x="18474780" y="715240"/>
          <a:ext cx="2488302" cy="2742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600" b="1">
              <a:solidFill>
                <a:srgbClr val="394C77"/>
              </a:solidFill>
            </a:rPr>
            <a:t>Total Horas Dedicadas:</a:t>
          </a:r>
        </a:p>
      </xdr:txBody>
    </xdr:sp>
    <xdr:clientData/>
  </xdr:twoCellAnchor>
  <xdr:twoCellAnchor>
    <xdr:from>
      <xdr:col>24</xdr:col>
      <xdr:colOff>84979</xdr:colOff>
      <xdr:row>3</xdr:row>
      <xdr:rowOff>123536</xdr:rowOff>
    </xdr:from>
    <xdr:to>
      <xdr:col>27</xdr:col>
      <xdr:colOff>311149</xdr:colOff>
      <xdr:row>5</xdr:row>
      <xdr:rowOff>22513</xdr:rowOff>
    </xdr:to>
    <xdr:sp macro="" textlink="B91">
      <xdr:nvSpPr>
        <xdr:cNvPr id="37" name="CuadroTexto 36">
          <a:extLst>
            <a:ext uri="{FF2B5EF4-FFF2-40B4-BE49-F238E27FC236}">
              <a16:creationId xmlns:a16="http://schemas.microsoft.com/office/drawing/2014/main" id="{2D3B98AE-506B-474F-94B6-D1F04519D9D7}"/>
            </a:ext>
          </a:extLst>
        </xdr:cNvPr>
        <xdr:cNvSpPr txBox="1"/>
      </xdr:nvSpPr>
      <xdr:spPr>
        <a:xfrm>
          <a:off x="18442252" y="989445"/>
          <a:ext cx="2520829" cy="375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085F9F3-4650-4BC2-AFD2-D9A2F1F80855}" type="TxLink">
            <a:rPr lang="en-US" sz="2800" b="1" i="0" u="none" strike="noStrike">
              <a:solidFill>
                <a:srgbClr val="394C77"/>
              </a:solidFill>
              <a:latin typeface="Aptos Narrow"/>
              <a:ea typeface="+mn-ea"/>
              <a:cs typeface="+mn-cs"/>
            </a:rPr>
            <a:pPr marL="0" indent="0" algn="ctr"/>
            <a:t>91</a:t>
          </a:fld>
          <a:endParaRPr lang="es-PE" sz="2800" b="1" i="0" u="none" strike="noStrike">
            <a:solidFill>
              <a:srgbClr val="394C77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</xdr:row>
      <xdr:rowOff>52387</xdr:rowOff>
    </xdr:from>
    <xdr:to>
      <xdr:col>13</xdr:col>
      <xdr:colOff>85725</xdr:colOff>
      <xdr:row>15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7C2BC37-1AFB-B55E-9BB4-91C7846E9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16</xdr:row>
      <xdr:rowOff>166687</xdr:rowOff>
    </xdr:from>
    <xdr:to>
      <xdr:col>13</xdr:col>
      <xdr:colOff>238125</xdr:colOff>
      <xdr:row>31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434C907-F75C-3F02-F90B-460C91868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1104900</xdr:colOff>
      <xdr:row>43</xdr:row>
      <xdr:rowOff>4762</xdr:rowOff>
    </xdr:from>
    <xdr:to>
      <xdr:col>10</xdr:col>
      <xdr:colOff>352425</xdr:colOff>
      <xdr:row>57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725BAF3-B03A-004C-9D33-5177F8A8C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609600</xdr:colOff>
      <xdr:row>62</xdr:row>
      <xdr:rowOff>147637</xdr:rowOff>
    </xdr:from>
    <xdr:to>
      <xdr:col>12</xdr:col>
      <xdr:colOff>314325</xdr:colOff>
      <xdr:row>77</xdr:row>
      <xdr:rowOff>23812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115F085-3199-E949-C9AF-21D3C104A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647700</xdr:colOff>
      <xdr:row>79</xdr:row>
      <xdr:rowOff>80962</xdr:rowOff>
    </xdr:from>
    <xdr:to>
      <xdr:col>10</xdr:col>
      <xdr:colOff>66675</xdr:colOff>
      <xdr:row>93</xdr:row>
      <xdr:rowOff>157162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1B2C743-6E2A-A2BB-F5A5-2783F04E9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333375</xdr:colOff>
      <xdr:row>7</xdr:row>
      <xdr:rowOff>28575</xdr:rowOff>
    </xdr:from>
    <xdr:to>
      <xdr:col>18</xdr:col>
      <xdr:colOff>628650</xdr:colOff>
      <xdr:row>21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Epica">
              <a:extLst>
                <a:ext uri="{FF2B5EF4-FFF2-40B4-BE49-F238E27FC236}">
                  <a16:creationId xmlns:a16="http://schemas.microsoft.com/office/drawing/2014/main" id="{D703DE8F-E91F-E039-AF15-54413756A4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pi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62404" y="1373281"/>
              <a:ext cx="1830481" cy="2668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514350</xdr:colOff>
      <xdr:row>22</xdr:row>
      <xdr:rowOff>77320</xdr:rowOff>
    </xdr:from>
    <xdr:to>
      <xdr:col>19</xdr:col>
      <xdr:colOff>115980</xdr:colOff>
      <xdr:row>36</xdr:row>
      <xdr:rowOff>79001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rioridad">
              <a:extLst>
                <a:ext uri="{FF2B5EF4-FFF2-40B4-BE49-F238E27FC236}">
                  <a16:creationId xmlns:a16="http://schemas.microsoft.com/office/drawing/2014/main" id="{49A645B4-6599-F4EA-FF24-0F4F41419F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or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43379" y="4290732"/>
              <a:ext cx="1831601" cy="2668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381000</xdr:colOff>
      <xdr:row>7</xdr:row>
      <xdr:rowOff>133350</xdr:rowOff>
    </xdr:from>
    <xdr:to>
      <xdr:col>16</xdr:col>
      <xdr:colOff>123825</xdr:colOff>
      <xdr:row>21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EstadoAvance">
              <a:extLst>
                <a:ext uri="{FF2B5EF4-FFF2-40B4-BE49-F238E27FC236}">
                  <a16:creationId xmlns:a16="http://schemas.microsoft.com/office/drawing/2014/main" id="{D7A017E0-D192-F66E-A64E-04793AF615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Ava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5735" y="1478056"/>
              <a:ext cx="1827119" cy="2668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784411</xdr:colOff>
      <xdr:row>105</xdr:row>
      <xdr:rowOff>56029</xdr:rowOff>
    </xdr:from>
    <xdr:to>
      <xdr:col>8</xdr:col>
      <xdr:colOff>78441</xdr:colOff>
      <xdr:row>110</xdr:row>
      <xdr:rowOff>123264</xdr:rowOff>
    </xdr:to>
    <xdr:sp macro="" textlink="C131">
      <xdr:nvSpPr>
        <xdr:cNvPr id="11" name="CuadroTexto 10">
          <a:extLst>
            <a:ext uri="{FF2B5EF4-FFF2-40B4-BE49-F238E27FC236}">
              <a16:creationId xmlns:a16="http://schemas.microsoft.com/office/drawing/2014/main" id="{C35CA4A9-D9EC-8796-984E-D94D3EBAEE34}"/>
            </a:ext>
          </a:extLst>
        </xdr:cNvPr>
        <xdr:cNvSpPr txBox="1"/>
      </xdr:nvSpPr>
      <xdr:spPr>
        <a:xfrm>
          <a:off x="7967382" y="20103353"/>
          <a:ext cx="1524000" cy="1019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9DB06B5-99DE-49A8-ACCE-47185B984B97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30</a:t>
          </a:fld>
          <a:endParaRPr lang="es-PE" sz="1100"/>
        </a:p>
      </xdr:txBody>
    </xdr:sp>
    <xdr:clientData/>
  </xdr:twoCellAnchor>
  <xdr:twoCellAnchor>
    <xdr:from>
      <xdr:col>6</xdr:col>
      <xdr:colOff>593911</xdr:colOff>
      <xdr:row>33</xdr:row>
      <xdr:rowOff>123265</xdr:rowOff>
    </xdr:from>
    <xdr:to>
      <xdr:col>9</xdr:col>
      <xdr:colOff>33617</xdr:colOff>
      <xdr:row>38</xdr:row>
      <xdr:rowOff>179294</xdr:rowOff>
    </xdr:to>
    <xdr:sp macro="" textlink="C9">
      <xdr:nvSpPr>
        <xdr:cNvPr id="12" name="CuadroTexto 11">
          <a:extLst>
            <a:ext uri="{FF2B5EF4-FFF2-40B4-BE49-F238E27FC236}">
              <a16:creationId xmlns:a16="http://schemas.microsoft.com/office/drawing/2014/main" id="{F5D87318-3C52-40FA-9211-E828C39CCFC0}"/>
            </a:ext>
          </a:extLst>
        </xdr:cNvPr>
        <xdr:cNvSpPr txBox="1"/>
      </xdr:nvSpPr>
      <xdr:spPr>
        <a:xfrm>
          <a:off x="8617323" y="6432177"/>
          <a:ext cx="1524000" cy="1019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FB1E539-7B61-4539-9133-70279C35BF04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30</a:t>
          </a:fld>
          <a:endParaRPr lang="es-PE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dash.xlsx" TargetMode="External"/><Relationship Id="rId1" Type="http://schemas.openxmlformats.org/officeDocument/2006/relationships/externalLinkPath" Target="file:///C:\Users\user\Documents\da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laboradores"/>
      <sheetName val="HU"/>
      <sheetName val="Avances_Diarios"/>
      <sheetName val="Hoja4"/>
      <sheetName val="DASHBOARD"/>
      <sheetName val="Hoja3"/>
      <sheetName val="Hoja1"/>
      <sheetName val="dash"/>
    </sheetNames>
    <sheetDataSet>
      <sheetData sheetId="0"/>
      <sheetData sheetId="1">
        <row r="2">
          <cell r="A2">
            <v>1</v>
          </cell>
          <cell r="I2">
            <v>46060</v>
          </cell>
        </row>
        <row r="3">
          <cell r="A3">
            <v>2</v>
          </cell>
          <cell r="I3">
            <v>46063</v>
          </cell>
        </row>
        <row r="4">
          <cell r="A4">
            <v>3</v>
          </cell>
          <cell r="I4">
            <v>46061</v>
          </cell>
        </row>
        <row r="5">
          <cell r="A5">
            <v>4</v>
          </cell>
          <cell r="I5">
            <v>46068</v>
          </cell>
        </row>
        <row r="6">
          <cell r="A6">
            <v>5</v>
          </cell>
          <cell r="I6">
            <v>46063</v>
          </cell>
        </row>
        <row r="7">
          <cell r="A7">
            <v>6</v>
          </cell>
          <cell r="I7">
            <v>46061</v>
          </cell>
        </row>
        <row r="8">
          <cell r="A8">
            <v>7</v>
          </cell>
          <cell r="I8">
            <v>46063</v>
          </cell>
        </row>
        <row r="9">
          <cell r="A9">
            <v>8</v>
          </cell>
          <cell r="I9">
            <v>46065</v>
          </cell>
        </row>
        <row r="10">
          <cell r="A10">
            <v>9</v>
          </cell>
          <cell r="I10">
            <v>46066</v>
          </cell>
        </row>
        <row r="11">
          <cell r="A11">
            <v>10</v>
          </cell>
          <cell r="I11">
            <v>46065</v>
          </cell>
        </row>
        <row r="12">
          <cell r="A12">
            <v>11</v>
          </cell>
          <cell r="I12">
            <v>46069</v>
          </cell>
        </row>
        <row r="13">
          <cell r="A13">
            <v>12</v>
          </cell>
          <cell r="I13">
            <v>46067</v>
          </cell>
        </row>
        <row r="14">
          <cell r="A14">
            <v>13</v>
          </cell>
          <cell r="I14">
            <v>46067</v>
          </cell>
        </row>
        <row r="15">
          <cell r="A15">
            <v>14</v>
          </cell>
          <cell r="I15">
            <v>46070</v>
          </cell>
        </row>
        <row r="16">
          <cell r="A16">
            <v>15</v>
          </cell>
          <cell r="I16">
            <v>46071</v>
          </cell>
        </row>
        <row r="17">
          <cell r="A17">
            <v>16</v>
          </cell>
          <cell r="I17">
            <v>46070</v>
          </cell>
        </row>
        <row r="18">
          <cell r="A18">
            <v>17</v>
          </cell>
          <cell r="I18">
            <v>46069</v>
          </cell>
        </row>
        <row r="19">
          <cell r="A19">
            <v>18</v>
          </cell>
          <cell r="I19">
            <v>46072</v>
          </cell>
        </row>
        <row r="20">
          <cell r="A20">
            <v>19</v>
          </cell>
          <cell r="I20">
            <v>46073</v>
          </cell>
        </row>
        <row r="21">
          <cell r="A21">
            <v>20</v>
          </cell>
          <cell r="I21">
            <v>46073</v>
          </cell>
        </row>
        <row r="22">
          <cell r="A22">
            <v>21</v>
          </cell>
          <cell r="I22">
            <v>46073</v>
          </cell>
        </row>
        <row r="23">
          <cell r="A23">
            <v>22</v>
          </cell>
          <cell r="I23">
            <v>46071</v>
          </cell>
        </row>
        <row r="24">
          <cell r="A24">
            <v>23</v>
          </cell>
          <cell r="I24">
            <v>46071</v>
          </cell>
        </row>
        <row r="25">
          <cell r="A25">
            <v>24</v>
          </cell>
          <cell r="I25">
            <v>46071</v>
          </cell>
        </row>
        <row r="26">
          <cell r="A26">
            <v>25</v>
          </cell>
          <cell r="I26">
            <v>46073</v>
          </cell>
        </row>
        <row r="27">
          <cell r="A27">
            <v>26</v>
          </cell>
          <cell r="I27">
            <v>46074</v>
          </cell>
        </row>
        <row r="28">
          <cell r="A28">
            <v>27</v>
          </cell>
          <cell r="I28">
            <v>46074</v>
          </cell>
        </row>
        <row r="29">
          <cell r="A29">
            <v>28</v>
          </cell>
          <cell r="I29">
            <v>46074</v>
          </cell>
        </row>
        <row r="30">
          <cell r="A30">
            <v>29</v>
          </cell>
          <cell r="I30">
            <v>46075</v>
          </cell>
        </row>
        <row r="31">
          <cell r="A31">
            <v>30</v>
          </cell>
          <cell r="I31">
            <v>46076</v>
          </cell>
        </row>
      </sheetData>
      <sheetData sheetId="2">
        <row r="2">
          <cell r="B2">
            <v>1</v>
          </cell>
          <cell r="C2">
            <v>1</v>
          </cell>
          <cell r="H2">
            <v>1</v>
          </cell>
        </row>
        <row r="3">
          <cell r="B3">
            <v>2</v>
          </cell>
          <cell r="C3">
            <v>2</v>
          </cell>
          <cell r="H3">
            <v>0</v>
          </cell>
        </row>
        <row r="4">
          <cell r="B4">
            <v>3</v>
          </cell>
          <cell r="C4">
            <v>3</v>
          </cell>
          <cell r="H4">
            <v>1</v>
          </cell>
        </row>
        <row r="5">
          <cell r="B5">
            <v>4</v>
          </cell>
          <cell r="C5">
            <v>2</v>
          </cell>
          <cell r="H5">
            <v>0</v>
          </cell>
        </row>
        <row r="6">
          <cell r="B6">
            <v>4</v>
          </cell>
          <cell r="C6">
            <v>4</v>
          </cell>
          <cell r="H6">
            <v>0</v>
          </cell>
        </row>
        <row r="7">
          <cell r="B7">
            <v>5</v>
          </cell>
          <cell r="C7">
            <v>5</v>
          </cell>
          <cell r="H7">
            <v>1</v>
          </cell>
        </row>
        <row r="8">
          <cell r="B8">
            <v>6</v>
          </cell>
          <cell r="C8">
            <v>6</v>
          </cell>
          <cell r="H8">
            <v>1</v>
          </cell>
        </row>
        <row r="9">
          <cell r="B9">
            <v>7</v>
          </cell>
          <cell r="C9">
            <v>1</v>
          </cell>
          <cell r="H9">
            <v>1</v>
          </cell>
        </row>
        <row r="10">
          <cell r="B10">
            <v>8</v>
          </cell>
          <cell r="C10">
            <v>8</v>
          </cell>
          <cell r="H10">
            <v>0</v>
          </cell>
        </row>
        <row r="11">
          <cell r="B11">
            <v>8</v>
          </cell>
          <cell r="C11">
            <v>4</v>
          </cell>
          <cell r="H11">
            <v>0</v>
          </cell>
        </row>
        <row r="12">
          <cell r="B12">
            <v>9</v>
          </cell>
          <cell r="C12">
            <v>1</v>
          </cell>
          <cell r="H12">
            <v>0</v>
          </cell>
        </row>
        <row r="13">
          <cell r="B13">
            <v>10</v>
          </cell>
          <cell r="C13">
            <v>3</v>
          </cell>
          <cell r="H13">
            <v>1</v>
          </cell>
        </row>
        <row r="14">
          <cell r="B14">
            <v>11</v>
          </cell>
          <cell r="C14">
            <v>11</v>
          </cell>
          <cell r="H14">
            <v>0</v>
          </cell>
        </row>
        <row r="15">
          <cell r="B15">
            <v>12</v>
          </cell>
          <cell r="C15">
            <v>6</v>
          </cell>
          <cell r="H15">
            <v>1</v>
          </cell>
        </row>
        <row r="16">
          <cell r="B16">
            <v>13</v>
          </cell>
          <cell r="C16">
            <v>1</v>
          </cell>
          <cell r="H16">
            <v>1</v>
          </cell>
        </row>
        <row r="17">
          <cell r="B17">
            <v>14</v>
          </cell>
          <cell r="C17">
            <v>3</v>
          </cell>
          <cell r="H17">
            <v>0</v>
          </cell>
        </row>
        <row r="18">
          <cell r="B18">
            <v>15</v>
          </cell>
          <cell r="C18">
            <v>3</v>
          </cell>
          <cell r="H18">
            <v>0</v>
          </cell>
        </row>
        <row r="19">
          <cell r="B19">
            <v>16</v>
          </cell>
          <cell r="C19">
            <v>11</v>
          </cell>
          <cell r="H19">
            <v>0</v>
          </cell>
        </row>
        <row r="20">
          <cell r="B20">
            <v>17</v>
          </cell>
          <cell r="C20">
            <v>1</v>
          </cell>
          <cell r="H20">
            <v>1</v>
          </cell>
        </row>
        <row r="21">
          <cell r="B21">
            <v>18</v>
          </cell>
          <cell r="C21">
            <v>2</v>
          </cell>
          <cell r="H21">
            <v>0</v>
          </cell>
        </row>
        <row r="22">
          <cell r="B22">
            <v>19</v>
          </cell>
          <cell r="C22">
            <v>3</v>
          </cell>
          <cell r="H22">
            <v>0</v>
          </cell>
        </row>
        <row r="23">
          <cell r="B23">
            <v>20</v>
          </cell>
          <cell r="C23">
            <v>4</v>
          </cell>
          <cell r="H23">
            <v>0</v>
          </cell>
        </row>
        <row r="24">
          <cell r="B24">
            <v>21</v>
          </cell>
          <cell r="C24">
            <v>5</v>
          </cell>
          <cell r="H24">
            <v>0</v>
          </cell>
        </row>
        <row r="25">
          <cell r="B25">
            <v>22</v>
          </cell>
          <cell r="C25">
            <v>1</v>
          </cell>
          <cell r="H25">
            <v>1</v>
          </cell>
        </row>
        <row r="26">
          <cell r="B26">
            <v>23</v>
          </cell>
          <cell r="C26">
            <v>6</v>
          </cell>
          <cell r="H26">
            <v>1</v>
          </cell>
        </row>
        <row r="27">
          <cell r="B27">
            <v>24</v>
          </cell>
          <cell r="C27">
            <v>1</v>
          </cell>
          <cell r="H27">
            <v>1</v>
          </cell>
        </row>
        <row r="28">
          <cell r="B28">
            <v>25</v>
          </cell>
          <cell r="C28">
            <v>3</v>
          </cell>
          <cell r="H28">
            <v>0</v>
          </cell>
        </row>
        <row r="29">
          <cell r="B29">
            <v>26</v>
          </cell>
          <cell r="C29">
            <v>3</v>
          </cell>
          <cell r="H29">
            <v>0</v>
          </cell>
        </row>
        <row r="30">
          <cell r="B30">
            <v>27</v>
          </cell>
          <cell r="C30">
            <v>11</v>
          </cell>
          <cell r="H30">
            <v>0</v>
          </cell>
        </row>
        <row r="31">
          <cell r="B31">
            <v>28</v>
          </cell>
          <cell r="C31">
            <v>8</v>
          </cell>
          <cell r="H31">
            <v>0</v>
          </cell>
        </row>
        <row r="32">
          <cell r="B32">
            <v>29</v>
          </cell>
          <cell r="C32">
            <v>8</v>
          </cell>
          <cell r="H32">
            <v>0</v>
          </cell>
        </row>
        <row r="33">
          <cell r="B33">
            <v>30</v>
          </cell>
          <cell r="C33">
            <v>8</v>
          </cell>
          <cell r="H33">
            <v>0</v>
          </cell>
        </row>
        <row r="34">
          <cell r="B34">
            <v>2</v>
          </cell>
          <cell r="C34">
            <v>4</v>
          </cell>
          <cell r="H34">
            <v>1</v>
          </cell>
        </row>
        <row r="35">
          <cell r="B35">
            <v>4</v>
          </cell>
          <cell r="H35">
            <v>0</v>
          </cell>
        </row>
        <row r="36">
          <cell r="B36">
            <v>9</v>
          </cell>
          <cell r="H36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5.63525428241" backgroundQuery="1" createdVersion="8" refreshedVersion="8" minRefreshableVersion="3" recordCount="0" supportSubquery="1" supportAdvancedDrill="1" xr:uid="{B682788F-4833-4CA3-914D-B7879510290F}">
  <cacheSource type="external" connectionId="1"/>
  <cacheFields count="3">
    <cacheField name="[Measures].[Recuento de HU_ID]" caption="Recuento de HU_ID" numFmtId="0" hierarchy="33" level="32767"/>
    <cacheField name="[tHU].[NombreHistoria].[NombreHistoria]" caption="NombreHistoria" numFmtId="0" hierarchy="18" level="1">
      <sharedItems count="26">
        <s v="Exportar reporte de avances"/>
        <s v="Iniciar Sesión"/>
        <s v="Interactuar con Cards de área"/>
        <s v="Interactuar con filtro de &quot;Mis Divisiones&quot;"/>
        <s v="Reestablecer Contraseña"/>
        <s v="Visualizar barra lateral de navegación"/>
        <s v="Visualizar card de &quot;Marcar Asistencia&quot;"/>
        <s v="Visualizar card de Mandar Comunicado"/>
        <s v="Visualizar cards de divisiones"/>
        <s v="Visualizar encabezado principal con datos del usuario"/>
        <s v="Visualizar gráfico de avance por épica"/>
        <s v="Visualizar interfaz de inicio de sesión"/>
        <s v="Visualizar interfaz de Reestablecer Contraseña"/>
        <s v="Visualizar interfaz principal de Comunicados"/>
        <s v="Visualizar interfaz principal de Gerencia"/>
        <s v="Visualizar interfaz principal General"/>
        <s v="Visualizar KPIs principales"/>
        <s v="Visualizar lista de Avisos Urgentes"/>
        <s v="Visualizar lista de Comunicados"/>
        <s v="Visualizar modal de alertas"/>
        <s v="Visualizar modal de Cruce de Horario"/>
        <s v="Visualizar modal de Justifica tu Falta"/>
        <s v="Visualizar sección de Estado"/>
        <s v="Visualizar sección de Justificaciones"/>
        <s v="Visualizar sección días convenio"/>
        <s v="Visualizar tabla de Registro de Asistencia"/>
      </sharedItems>
    </cacheField>
    <cacheField name="[Measures].[Suma de PuntosEstimados]" caption="Suma de PuntosEstimados" numFmtId="0" hierarchy="41" level="32767"/>
  </cacheFields>
  <cacheHierarchies count="42">
    <cacheHierarchy uniqueName="[tAvances].[AvanceID]" caption="AvanceID" attribute="1" defaultMemberUniqueName="[tAvances].[AvanceID].[All]" allUniqueName="[tAvances].[AvanceID].[All]" dimensionUniqueName="[tAvances]" displayFolder="" count="0" memberValueDatatype="20" unbalanced="0"/>
    <cacheHierarchy uniqueName="[tAvances].[HU_ID]" caption="HU_ID" attribute="1" defaultMemberUniqueName="[tAvances].[HU_ID].[All]" allUniqueName="[tAvances].[HU_ID].[All]" dimensionUniqueName="[tAvances]" displayFolder="" count="0" memberValueDatatype="20" unbalanced="0"/>
    <cacheHierarchy uniqueName="[tAvances].[ColaboradorID]" caption="ColaboradorID" attribute="1" defaultMemberUniqueName="[tAvances].[ColaboradorID].[All]" allUniqueName="[tAvances].[ColaboradorID].[All]" dimensionUniqueName="[tAvances]" displayFolder="" count="0" memberValueDatatype="20" unbalanced="0"/>
    <cacheHierarchy uniqueName="[tAvances].[FechaRegistro]" caption="FechaRegistro" attribute="1" time="1" defaultMemberUniqueName="[tAvances].[FechaRegistro].[All]" allUniqueName="[tAvances].[FechaRegistro].[All]" dimensionUniqueName="[tAvances]" displayFolder="" count="0" memberValueDatatype="7" unbalanced="0"/>
    <cacheHierarchy uniqueName="[tAvances].[HorasDedicadas]" caption="HorasDedicadas" attribute="1" defaultMemberUniqueName="[tAvances].[HorasDedicadas].[All]" allUniqueName="[tAvances].[HorasDedicadas].[All]" dimensionUniqueName="[tAvances]" displayFolder="" count="0" memberValueDatatype="20" unbalanced="0"/>
    <cacheHierarchy uniqueName="[tAvances].[EstadoAvance]" caption="EstadoAvance" attribute="1" defaultMemberUniqueName="[tAvances].[EstadoAvance].[All]" allUniqueName="[tAvances].[EstadoAvance].[All]" dimensionUniqueName="[tAvances]" displayFolder="" count="0" memberValueDatatype="130" unbalanced="0"/>
    <cacheHierarchy uniqueName="[tAvances].[Comentario]" caption="Comentario" attribute="1" defaultMemberUniqueName="[tAvances].[Comentario].[All]" allUniqueName="[tAvances].[Comentario].[All]" dimensionUniqueName="[tAvances]" displayFolder="" count="0" memberValueDatatype="130" unbalanced="0"/>
    <cacheHierarchy uniqueName="[tAvances].[EsCompletada]" caption="EsCompletada" attribute="1" defaultMemberUniqueName="[tAvances].[EsCompletada].[All]" allUniqueName="[tAvances].[EsCompletada].[All]" dimensionUniqueName="[tAvances]" displayFolder="" count="0" memberValueDatatype="20" unbalanced="0"/>
    <cacheHierarchy uniqueName="[tAvances].[Áreas]" caption="Áreas" attribute="1" defaultMemberUniqueName="[tAvances].[Áreas].[All]" allUniqueName="[tAvances].[Áreas].[All]" dimensionUniqueName="[tAvances]" displayFolder="" count="0" memberValueDatatype="130" unbalanced="0"/>
    <cacheHierarchy uniqueName="[tAvances].[FechaRegistro (día)]" caption="FechaRegistro (día)" attribute="1" defaultMemberUniqueName="[tAvances].[FechaRegistro (día)].[All]" allUniqueName="[tAvances].[FechaRegistro (día)].[All]" dimensionUniqueName="[tAvances]" displayFolder="" count="0" memberValueDatatype="130" unbalanced="0"/>
    <cacheHierarchy uniqueName="[tColaboradores].[Colaborador ID]" caption="Colaborador ID" attribute="1" defaultMemberUniqueName="[tColaboradores].[Colaborador ID].[All]" allUniqueName="[tColaboradores].[Colaborador ID].[All]" dimensionUniqueName="[tColaboradores]" displayFolder="" count="0" memberValueDatatype="20" unbalanced="0"/>
    <cacheHierarchy uniqueName="[tColaboradores].[Nombres]" caption="Nombres" attribute="1" defaultMemberUniqueName="[tColaboradores].[Nombres].[All]" allUniqueName="[tColaboradores].[Nombres].[All]" dimensionUniqueName="[tColaboradores]" displayFolder="" count="0" memberValueDatatype="130" unbalanced="0"/>
    <cacheHierarchy uniqueName="[tColaboradores].[Rol]" caption="Rol" attribute="1" defaultMemberUniqueName="[tColaboradores].[Rol].[All]" allUniqueName="[tColaboradores].[Rol].[All]" dimensionUniqueName="[tColaboradores]" displayFolder="" count="0" memberValueDatatype="130" unbalanced="0"/>
    <cacheHierarchy uniqueName="[tColaboradores].[Area]" caption="Area" attribute="1" defaultMemberUniqueName="[tColaboradores].[Area].[All]" allUniqueName="[tColaboradores].[Area].[All]" dimensionUniqueName="[tColaboradores]" displayFolder="" count="0" memberValueDatatype="130" unbalanced="0"/>
    <cacheHierarchy uniqueName="[tColaboradores].[FechaIngreso]" caption="FechaIngreso" attribute="1" time="1" defaultMemberUniqueName="[tColaboradores].[FechaIngreso].[All]" allUniqueName="[tColaboradores].[FechaIngreso].[All]" dimensionUniqueName="[tColaboradores]" displayFolder="" count="0" memberValueDatatype="7" unbalanced="0"/>
    <cacheHierarchy uniqueName="[tHU].[HU_ID]" caption="HU_ID" attribute="1" defaultMemberUniqueName="[tHU].[HU_ID].[All]" allUniqueName="[tHU].[HU_ID].[All]" dimensionUniqueName="[tHU]" displayFolder="" count="0" memberValueDatatype="20" unbalanced="0"/>
    <cacheHierarchy uniqueName="[tHU].[Epica]" caption="Epica" attribute="1" defaultMemberUniqueName="[tHU].[Epica].[All]" allUniqueName="[tHU].[Epica].[All]" dimensionUniqueName="[tHU]" displayFolder="" count="0" memberValueDatatype="130" unbalanced="0"/>
    <cacheHierarchy uniqueName="[tHU].[HU_Codigo]" caption="HU_Codigo" attribute="1" defaultMemberUniqueName="[tHU].[HU_Codigo].[All]" allUniqueName="[tHU].[HU_Codigo].[All]" dimensionUniqueName="[tHU]" displayFolder="" count="0" memberValueDatatype="130" unbalanced="0"/>
    <cacheHierarchy uniqueName="[tHU].[NombreHistoria]" caption="NombreHistoria" attribute="1" defaultMemberUniqueName="[tHU].[NombreHistoria].[All]" allUniqueName="[tHU].[NombreHistoria].[All]" dimensionUniqueName="[tHU]" displayFolder="" count="2" memberValueDatatype="130" unbalanced="0">
      <fieldsUsage count="2">
        <fieldUsage x="-1"/>
        <fieldUsage x="1"/>
      </fieldsUsage>
    </cacheHierarchy>
    <cacheHierarchy uniqueName="[tHU].[Prioridad]" caption="Prioridad" attribute="1" defaultMemberUniqueName="[tHU].[Prioridad].[All]" allUniqueName="[tHU].[Prioridad].[All]" dimensionUniqueName="[tHU]" displayFolder="" count="0" memberValueDatatype="130" unbalanced="0"/>
    <cacheHierarchy uniqueName="[tHU].[PuntosEstimados]" caption="PuntosEstimados" attribute="1" defaultMemberUniqueName="[tHU].[PuntosEstimados].[All]" allUniqueName="[tHU].[PuntosEstimados].[All]" dimensionUniqueName="[tHU]" displayFolder="" count="0" memberValueDatatype="20" unbalanced="0"/>
    <cacheHierarchy uniqueName="[tHU].[ResponsableAsignadoID]" caption="ResponsableAsignadoID" attribute="1" defaultMemberUniqueName="[tHU].[ResponsableAsignadoID].[All]" allUniqueName="[tHU].[ResponsableAsignadoID].[All]" dimensionUniqueName="[tHU]" displayFolder="" count="0" memberValueDatatype="20" unbalanced="0"/>
    <cacheHierarchy uniqueName="[tHU].[FechaInicioEstimada]" caption="FechaInicioEstimada" attribute="1" time="1" defaultMemberUniqueName="[tHU].[FechaInicioEstimada].[All]" allUniqueName="[tHU].[FechaInicioEstimada].[All]" dimensionUniqueName="[tHU]" displayFolder="" count="0" memberValueDatatype="7" unbalanced="0"/>
    <cacheHierarchy uniqueName="[tHU].[FechaFinEstimada]" caption="FechaFinEstimada" attribute="1" time="1" defaultMemberUniqueName="[tHU].[FechaFinEstimada].[All]" allUniqueName="[tHU].[FechaFinEstimada].[All]" dimensionUniqueName="[tHU]" displayFolder="" count="0" memberValueDatatype="7" unbalanced="0"/>
    <cacheHierarchy uniqueName="[tHU].[DiasRetraso]" caption="DiasRetraso" attribute="1" defaultMemberUniqueName="[tHU].[DiasRetraso].[All]" allUniqueName="[tHU].[DiasRetraso].[All]" dimensionUniqueName="[tHU]" displayFolder="" count="0" memberValueDatatype="20" unbalanced="0"/>
    <cacheHierarchy uniqueName="[tAvances].[FechaRegistro (índice de días)]" caption="FechaRegistro (índice de días)" attribute="1" defaultMemberUniqueName="[tAvances].[FechaRegistro (índice de días)].[All]" allUniqueName="[tAvances].[FechaRegistro (índice de días)].[All]" dimensionUniqueName="[tAvances]" displayFolder="" count="0" memberValueDatatype="5" unbalanced="0" hidden="1"/>
    <cacheHierarchy uniqueName="[Measures].[HUs Completadas]" caption="HUs Completadas" measure="1" displayFolder="" measureGroup="tAvances" count="0"/>
    <cacheHierarchy uniqueName="[Measures].[% Avance]" caption="% Avance" measure="1" displayFolder="" measureGroup="tAvances" count="0"/>
    <cacheHierarchy uniqueName="[Measures].[__XL_Count tHU]" caption="__XL_Count tHU" measure="1" displayFolder="" measureGroup="tHU" count="0" hidden="1"/>
    <cacheHierarchy uniqueName="[Measures].[__XL_Count tAvances]" caption="__XL_Count tAvances" measure="1" displayFolder="" measureGroup="tAvances" count="0" hidden="1"/>
    <cacheHierarchy uniqueName="[Measures].[__XL_Count tColaboradores]" caption="__XL_Count tColaboradores" measure="1" displayFolder="" measureGroup="tColaboradores" count="0" hidden="1"/>
    <cacheHierarchy uniqueName="[Measures].[__No measures defined]" caption="__No measures defined" measure="1" displayFolder="" count="0" hidden="1"/>
    <cacheHierarchy uniqueName="[Measures].[Suma de HU_ID]" caption="Suma de HU_ID" measure="1" displayFolder="" measureGroup="tH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HU_ID]" caption="Recuento de HU_ID" measure="1" displayFolder="" measureGroup="tHU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AvanceID]" caption="Suma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AvanceID]" caption="Recuento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HorasDedicadas]" caption="Suma de HorasDedicadas" measure="1" displayFolder="" measureGroup="tAvan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HU_ID 2]" caption="Suma de HU_ID 2" measure="1" displayFolder="" measureGroup="tAva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EsCompletada]" caption="Suma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EsCompletada]" caption="Recuent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EsCompletada]" caption="Promedi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PuntosEstimados]" caption="Suma de PuntosEstimados" measure="1" displayFolder="" measureGroup="tHU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tAvances" uniqueName="[tAvances]" caption="tAvances"/>
    <dimension name="tColaboradores" uniqueName="[tColaboradores]" caption="tColaboradores"/>
    <dimension name="tHU" uniqueName="[tHU]" caption="tHU"/>
  </dimensions>
  <measureGroups count="3">
    <measureGroup name="tAvances" caption="tAvances"/>
    <measureGroup name="tColaboradores" caption="tColaboradores"/>
    <measureGroup name="tHU" caption="tHU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7.056682523151" backgroundQuery="1" createdVersion="8" refreshedVersion="8" minRefreshableVersion="3" recordCount="0" supportSubquery="1" supportAdvancedDrill="1" xr:uid="{64C07A21-C5F4-4141-AAA2-8E54B5041AEE}">
  <cacheSource type="external" connectionId="1"/>
  <cacheFields count="5">
    <cacheField name="[tHU].[Epica].[Epica]" caption="Epica" numFmtId="0" hierarchy="16" level="1">
      <sharedItems count="5">
        <s v="Autenticación y Seguridad"/>
        <s v="Comunicados"/>
        <s v="Dashboard General"/>
        <s v="Home Gerencia"/>
        <s v="Mi Asistencia"/>
      </sharedItems>
    </cacheField>
    <cacheField name="[Measures].[Recuento de HU_ID]" caption="Recuento de HU_ID" numFmtId="0" hierarchy="33" level="32767"/>
    <cacheField name="[Measures].[HUs Completadas]" caption="HUs Completadas" numFmtId="0" hierarchy="26" level="32767"/>
    <cacheField name="[tHU].[FechaFinEstimada].[FechaFinEstimada]" caption="FechaFinEstimada" numFmtId="0" hierarchy="23" level="1">
      <sharedItems containsSemiMixedTypes="0" containsNonDate="0" containsString="0"/>
    </cacheField>
    <cacheField name="[tHU].[Prioridad].[Prioridad]" caption="Prioridad" numFmtId="0" hierarchy="19" level="1">
      <sharedItems containsSemiMixedTypes="0" containsNonDate="0" containsString="0"/>
    </cacheField>
  </cacheFields>
  <cacheHierarchies count="42">
    <cacheHierarchy uniqueName="[tAvances].[AvanceID]" caption="AvanceID" attribute="1" defaultMemberUniqueName="[tAvances].[AvanceID].[All]" allUniqueName="[tAvances].[AvanceID].[All]" dimensionUniqueName="[tAvances]" displayFolder="" count="0" memberValueDatatype="20" unbalanced="0"/>
    <cacheHierarchy uniqueName="[tAvances].[HU_ID]" caption="HU_ID" attribute="1" defaultMemberUniqueName="[tAvances].[HU_ID].[All]" allUniqueName="[tAvances].[HU_ID].[All]" dimensionUniqueName="[tAvances]" displayFolder="" count="0" memberValueDatatype="20" unbalanced="0"/>
    <cacheHierarchy uniqueName="[tAvances].[ColaboradorID]" caption="ColaboradorID" attribute="1" defaultMemberUniqueName="[tAvances].[ColaboradorID].[All]" allUniqueName="[tAvances].[ColaboradorID].[All]" dimensionUniqueName="[tAvances]" displayFolder="" count="0" memberValueDatatype="20" unbalanced="0"/>
    <cacheHierarchy uniqueName="[tAvances].[FechaRegistro]" caption="FechaRegistro" attribute="1" time="1" defaultMemberUniqueName="[tAvances].[FechaRegistro].[All]" allUniqueName="[tAvances].[FechaRegistro].[All]" dimensionUniqueName="[tAvances]" displayFolder="" count="0" memberValueDatatype="7" unbalanced="0"/>
    <cacheHierarchy uniqueName="[tAvances].[HorasDedicadas]" caption="HorasDedicadas" attribute="1" defaultMemberUniqueName="[tAvances].[HorasDedicadas].[All]" allUniqueName="[tAvances].[HorasDedicadas].[All]" dimensionUniqueName="[tAvances]" displayFolder="" count="0" memberValueDatatype="20" unbalanced="0"/>
    <cacheHierarchy uniqueName="[tAvances].[EstadoAvance]" caption="EstadoAvance" attribute="1" defaultMemberUniqueName="[tAvances].[EstadoAvance].[All]" allUniqueName="[tAvances].[EstadoAvance].[All]" dimensionUniqueName="[tAvances]" displayFolder="" count="2" memberValueDatatype="130" unbalanced="0"/>
    <cacheHierarchy uniqueName="[tAvances].[Comentario]" caption="Comentario" attribute="1" defaultMemberUniqueName="[tAvances].[Comentario].[All]" allUniqueName="[tAvances].[Comentario].[All]" dimensionUniqueName="[tAvances]" displayFolder="" count="0" memberValueDatatype="130" unbalanced="0"/>
    <cacheHierarchy uniqueName="[tAvances].[EsCompletada]" caption="EsCompletada" attribute="1" defaultMemberUniqueName="[tAvances].[EsCompletada].[All]" allUniqueName="[tAvances].[EsCompletada].[All]" dimensionUniqueName="[tAvances]" displayFolder="" count="0" memberValueDatatype="20" unbalanced="0"/>
    <cacheHierarchy uniqueName="[tAvances].[Áreas]" caption="Áreas" attribute="1" defaultMemberUniqueName="[tAvances].[Áreas].[All]" allUniqueName="[tAvances].[Áreas].[All]" dimensionUniqueName="[tAvances]" displayFolder="" count="0" memberValueDatatype="130" unbalanced="0"/>
    <cacheHierarchy uniqueName="[tAvances].[FechaRegistro (día)]" caption="FechaRegistro (día)" attribute="1" defaultMemberUniqueName="[tAvances].[FechaRegistro (día)].[All]" allUniqueName="[tAvances].[FechaRegistro (día)].[All]" dimensionUniqueName="[tAvances]" displayFolder="" count="0" memberValueDatatype="130" unbalanced="0"/>
    <cacheHierarchy uniqueName="[tColaboradores].[Colaborador ID]" caption="Colaborador ID" attribute="1" defaultMemberUniqueName="[tColaboradores].[Colaborador ID].[All]" allUniqueName="[tColaboradores].[Colaborador ID].[All]" dimensionUniqueName="[tColaboradores]" displayFolder="" count="0" memberValueDatatype="20" unbalanced="0"/>
    <cacheHierarchy uniqueName="[tColaboradores].[Nombres]" caption="Nombres" attribute="1" defaultMemberUniqueName="[tColaboradores].[Nombres].[All]" allUniqueName="[tColaboradores].[Nombres].[All]" dimensionUniqueName="[tColaboradores]" displayFolder="" count="0" memberValueDatatype="130" unbalanced="0"/>
    <cacheHierarchy uniqueName="[tColaboradores].[Rol]" caption="Rol" attribute="1" defaultMemberUniqueName="[tColaboradores].[Rol].[All]" allUniqueName="[tColaboradores].[Rol].[All]" dimensionUniqueName="[tColaboradores]" displayFolder="" count="0" memberValueDatatype="130" unbalanced="0"/>
    <cacheHierarchy uniqueName="[tColaboradores].[Area]" caption="Area" attribute="1" defaultMemberUniqueName="[tColaboradores].[Area].[All]" allUniqueName="[tColaboradores].[Area].[All]" dimensionUniqueName="[tColaboradores]" displayFolder="" count="0" memberValueDatatype="130" unbalanced="0"/>
    <cacheHierarchy uniqueName="[tColaboradores].[FechaIngreso]" caption="FechaIngreso" attribute="1" time="1" defaultMemberUniqueName="[tColaboradores].[FechaIngreso].[All]" allUniqueName="[tColaboradores].[FechaIngreso].[All]" dimensionUniqueName="[tColaboradores]" displayFolder="" count="0" memberValueDatatype="7" unbalanced="0"/>
    <cacheHierarchy uniqueName="[tHU].[HU_ID]" caption="HU_ID" attribute="1" defaultMemberUniqueName="[tHU].[HU_ID].[All]" allUniqueName="[tHU].[HU_ID].[All]" dimensionUniqueName="[tHU]" displayFolder="" count="0" memberValueDatatype="20" unbalanced="0"/>
    <cacheHierarchy uniqueName="[tHU].[Epica]" caption="Epica" attribute="1" defaultMemberUniqueName="[tHU].[Epica].[All]" allUniqueName="[tHU].[Epica].[All]" dimensionUniqueName="[tHU]" displayFolder="" count="2" memberValueDatatype="130" unbalanced="0">
      <fieldsUsage count="2">
        <fieldUsage x="-1"/>
        <fieldUsage x="0"/>
      </fieldsUsage>
    </cacheHierarchy>
    <cacheHierarchy uniqueName="[tHU].[HU_Codigo]" caption="HU_Codigo" attribute="1" defaultMemberUniqueName="[tHU].[HU_Codigo].[All]" allUniqueName="[tHU].[HU_Codigo].[All]" dimensionUniqueName="[tHU]" displayFolder="" count="0" memberValueDatatype="130" unbalanced="0"/>
    <cacheHierarchy uniqueName="[tHU].[NombreHistoria]" caption="NombreHistoria" attribute="1" defaultMemberUniqueName="[tHU].[NombreHistoria].[All]" allUniqueName="[tHU].[NombreHistoria].[All]" dimensionUniqueName="[tHU]" displayFolder="" count="0" memberValueDatatype="130" unbalanced="0"/>
    <cacheHierarchy uniqueName="[tHU].[Prioridad]" caption="Prioridad" attribute="1" defaultMemberUniqueName="[tHU].[Prioridad].[All]" allUniqueName="[tHU].[Prioridad].[All]" dimensionUniqueName="[tHU]" displayFolder="" count="2" memberValueDatatype="130" unbalanced="0">
      <fieldsUsage count="2">
        <fieldUsage x="-1"/>
        <fieldUsage x="4"/>
      </fieldsUsage>
    </cacheHierarchy>
    <cacheHierarchy uniqueName="[tHU].[PuntosEstimados]" caption="PuntosEstimados" attribute="1" defaultMemberUniqueName="[tHU].[PuntosEstimados].[All]" allUniqueName="[tHU].[PuntosEstimados].[All]" dimensionUniqueName="[tHU]" displayFolder="" count="0" memberValueDatatype="20" unbalanced="0"/>
    <cacheHierarchy uniqueName="[tHU].[ResponsableAsignadoID]" caption="ResponsableAsignadoID" attribute="1" defaultMemberUniqueName="[tHU].[ResponsableAsignadoID].[All]" allUniqueName="[tHU].[ResponsableAsignadoID].[All]" dimensionUniqueName="[tHU]" displayFolder="" count="0" memberValueDatatype="20" unbalanced="0"/>
    <cacheHierarchy uniqueName="[tHU].[FechaInicioEstimada]" caption="FechaInicioEstimada" attribute="1" time="1" defaultMemberUniqueName="[tHU].[FechaInicioEstimada].[All]" allUniqueName="[tHU].[FechaInicioEstimada].[All]" dimensionUniqueName="[tHU]" displayFolder="" count="0" memberValueDatatype="7" unbalanced="0"/>
    <cacheHierarchy uniqueName="[tHU].[FechaFinEstimada]" caption="FechaFinEstimada" attribute="1" time="1" defaultMemberUniqueName="[tHU].[FechaFinEstimada].[All]" allUniqueName="[tHU].[FechaFinEstimada].[All]" dimensionUniqueName="[tHU]" displayFolder="" count="2" memberValueDatatype="7" unbalanced="0">
      <fieldsUsage count="2">
        <fieldUsage x="-1"/>
        <fieldUsage x="3"/>
      </fieldsUsage>
    </cacheHierarchy>
    <cacheHierarchy uniqueName="[tHU].[DiasRetraso]" caption="DiasRetraso" attribute="1" defaultMemberUniqueName="[tHU].[DiasRetraso].[All]" allUniqueName="[tHU].[DiasRetraso].[All]" dimensionUniqueName="[tHU]" displayFolder="" count="0" memberValueDatatype="20" unbalanced="0"/>
    <cacheHierarchy uniqueName="[tAvances].[FechaRegistro (índice de días)]" caption="FechaRegistro (índice de días)" attribute="1" defaultMemberUniqueName="[tAvances].[FechaRegistro (índice de días)].[All]" allUniqueName="[tAvances].[FechaRegistro (índice de días)].[All]" dimensionUniqueName="[tAvances]" displayFolder="" count="0" memberValueDatatype="5" unbalanced="0" hidden="1"/>
    <cacheHierarchy uniqueName="[Measures].[HUs Completadas]" caption="HUs Completadas" measure="1" displayFolder="" measureGroup="tAvances" count="0" oneField="1">
      <fieldsUsage count="1">
        <fieldUsage x="2"/>
      </fieldsUsage>
    </cacheHierarchy>
    <cacheHierarchy uniqueName="[Measures].[% Avance]" caption="% Avance" measure="1" displayFolder="" measureGroup="tAvances" count="0"/>
    <cacheHierarchy uniqueName="[Measures].[__XL_Count tHU]" caption="__XL_Count tHU" measure="1" displayFolder="" measureGroup="tHU" count="0" hidden="1"/>
    <cacheHierarchy uniqueName="[Measures].[__XL_Count tAvances]" caption="__XL_Count tAvances" measure="1" displayFolder="" measureGroup="tAvances" count="0" hidden="1"/>
    <cacheHierarchy uniqueName="[Measures].[__XL_Count tColaboradores]" caption="__XL_Count tColaboradores" measure="1" displayFolder="" measureGroup="tColaboradores" count="0" hidden="1"/>
    <cacheHierarchy uniqueName="[Measures].[__No measures defined]" caption="__No measures defined" measure="1" displayFolder="" count="0" hidden="1"/>
    <cacheHierarchy uniqueName="[Measures].[Suma de HU_ID]" caption="Suma de HU_ID" measure="1" displayFolder="" measureGroup="tH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HU_ID]" caption="Recuento de HU_ID" measure="1" displayFolder="" measureGroup="tHU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AvanceID]" caption="Suma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AvanceID]" caption="Recuento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HorasDedicadas]" caption="Suma de HorasDedicadas" measure="1" displayFolder="" measureGroup="tAvan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HU_ID 2]" caption="Suma de HU_ID 2" measure="1" displayFolder="" measureGroup="tAva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EsCompletada]" caption="Suma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EsCompletada]" caption="Recuent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EsCompletada]" caption="Promedi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PuntosEstimados]" caption="Suma de PuntosEstimados" measure="1" displayFolder="" measureGroup="tHU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tAvances" uniqueName="[tAvances]" caption="tAvances"/>
    <dimension name="tColaboradores" uniqueName="[tColaboradores]" caption="tColaboradores"/>
    <dimension name="tHU" uniqueName="[tHU]" caption="tHU"/>
  </dimensions>
  <measureGroups count="3">
    <measureGroup name="tAvances" caption="tAvances"/>
    <measureGroup name="tColaboradores" caption="tColaboradores"/>
    <measureGroup name="tHU" caption="tHU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7.056683101851" backgroundQuery="1" createdVersion="8" refreshedVersion="8" minRefreshableVersion="3" recordCount="0" supportSubquery="1" supportAdvancedDrill="1" xr:uid="{233605C0-4BF0-4E39-9A38-0D012C61C31C}">
  <cacheSource type="external" connectionId="1"/>
  <cacheFields count="4">
    <cacheField name="[tColaboradores].[Nombres].[Nombres]" caption="Nombres" numFmtId="0" hierarchy="11" level="1">
      <sharedItems count="16">
        <s v="Alejandro Vargas"/>
        <s v="Camila Fernández"/>
        <s v="Diego Morales"/>
        <s v="Fernanda León"/>
        <s v="Gabriel Torres"/>
        <s v="Isabel Reyes"/>
        <s v="Javier Castillo"/>
        <s v="Karina Méndez"/>
        <s v="Luis Santana"/>
        <s v="Mariana Paredes"/>
        <s v="Nicolás Fuentes"/>
        <s v="Olivia Salazar"/>
        <s v="Pablo Núñez"/>
        <s v="Romina Castro"/>
        <s v="Santiago Peña"/>
        <s v="Valeria Muñoz"/>
      </sharedItems>
    </cacheField>
    <cacheField name="[tAvances].[EstadoAvance].[EstadoAvance]" caption="EstadoAvance" numFmtId="0" hierarchy="5" level="1">
      <sharedItems count="3">
        <s v="Completada"/>
        <s v="En Progreso"/>
        <s v="Pendiente"/>
      </sharedItems>
    </cacheField>
    <cacheField name="[Measures].[Recuento de AvanceID]" caption="Recuento de AvanceID" numFmtId="0" hierarchy="35" level="32767"/>
    <cacheField name="[tHU].[Prioridad].[Prioridad]" caption="Prioridad" numFmtId="0" hierarchy="19" level="1">
      <sharedItems containsSemiMixedTypes="0" containsNonDate="0" containsString="0"/>
    </cacheField>
  </cacheFields>
  <cacheHierarchies count="42">
    <cacheHierarchy uniqueName="[tAvances].[AvanceID]" caption="AvanceID" attribute="1" defaultMemberUniqueName="[tAvances].[AvanceID].[All]" allUniqueName="[tAvances].[AvanceID].[All]" dimensionUniqueName="[tAvances]" displayFolder="" count="0" memberValueDatatype="20" unbalanced="0"/>
    <cacheHierarchy uniqueName="[tAvances].[HU_ID]" caption="HU_ID" attribute="1" defaultMemberUniqueName="[tAvances].[HU_ID].[All]" allUniqueName="[tAvances].[HU_ID].[All]" dimensionUniqueName="[tAvances]" displayFolder="" count="0" memberValueDatatype="20" unbalanced="0"/>
    <cacheHierarchy uniqueName="[tAvances].[ColaboradorID]" caption="ColaboradorID" attribute="1" defaultMemberUniqueName="[tAvances].[ColaboradorID].[All]" allUniqueName="[tAvances].[ColaboradorID].[All]" dimensionUniqueName="[tAvances]" displayFolder="" count="0" memberValueDatatype="20" unbalanced="0"/>
    <cacheHierarchy uniqueName="[tAvances].[FechaRegistro]" caption="FechaRegistro" attribute="1" time="1" defaultMemberUniqueName="[tAvances].[FechaRegistro].[All]" allUniqueName="[tAvances].[FechaRegistro].[All]" dimensionUniqueName="[tAvances]" displayFolder="" count="0" memberValueDatatype="7" unbalanced="0"/>
    <cacheHierarchy uniqueName="[tAvances].[HorasDedicadas]" caption="HorasDedicadas" attribute="1" defaultMemberUniqueName="[tAvances].[HorasDedicadas].[All]" allUniqueName="[tAvances].[HorasDedicadas].[All]" dimensionUniqueName="[tAvances]" displayFolder="" count="0" memberValueDatatype="20" unbalanced="0"/>
    <cacheHierarchy uniqueName="[tAvances].[EstadoAvance]" caption="EstadoAvance" attribute="1" defaultMemberUniqueName="[tAvances].[EstadoAvance].[All]" allUniqueName="[tAvances].[EstadoAvance].[All]" dimensionUniqueName="[tAvances]" displayFolder="" count="2" memberValueDatatype="130" unbalanced="0">
      <fieldsUsage count="2">
        <fieldUsage x="-1"/>
        <fieldUsage x="1"/>
      </fieldsUsage>
    </cacheHierarchy>
    <cacheHierarchy uniqueName="[tAvances].[Comentario]" caption="Comentario" attribute="1" defaultMemberUniqueName="[tAvances].[Comentario].[All]" allUniqueName="[tAvances].[Comentario].[All]" dimensionUniqueName="[tAvances]" displayFolder="" count="0" memberValueDatatype="130" unbalanced="0"/>
    <cacheHierarchy uniqueName="[tAvances].[EsCompletada]" caption="EsCompletada" attribute="1" defaultMemberUniqueName="[tAvances].[EsCompletada].[All]" allUniqueName="[tAvances].[EsCompletada].[All]" dimensionUniqueName="[tAvances]" displayFolder="" count="0" memberValueDatatype="20" unbalanced="0"/>
    <cacheHierarchy uniqueName="[tAvances].[Áreas]" caption="Áreas" attribute="1" defaultMemberUniqueName="[tAvances].[Áreas].[All]" allUniqueName="[tAvances].[Áreas].[All]" dimensionUniqueName="[tAvances]" displayFolder="" count="0" memberValueDatatype="130" unbalanced="0"/>
    <cacheHierarchy uniqueName="[tAvances].[FechaRegistro (día)]" caption="FechaRegistro (día)" attribute="1" defaultMemberUniqueName="[tAvances].[FechaRegistro (día)].[All]" allUniqueName="[tAvances].[FechaRegistro (día)].[All]" dimensionUniqueName="[tAvances]" displayFolder="" count="0" memberValueDatatype="130" unbalanced="0"/>
    <cacheHierarchy uniqueName="[tColaboradores].[Colaborador ID]" caption="Colaborador ID" attribute="1" defaultMemberUniqueName="[tColaboradores].[Colaborador ID].[All]" allUniqueName="[tColaboradores].[Colaborador ID].[All]" dimensionUniqueName="[tColaboradores]" displayFolder="" count="0" memberValueDatatype="20" unbalanced="0"/>
    <cacheHierarchy uniqueName="[tColaboradores].[Nombres]" caption="Nombres" attribute="1" defaultMemberUniqueName="[tColaboradores].[Nombres].[All]" allUniqueName="[tColaboradores].[Nombres].[All]" dimensionUniqueName="[tColaboradores]" displayFolder="" count="2" memberValueDatatype="130" unbalanced="0">
      <fieldsUsage count="2">
        <fieldUsage x="-1"/>
        <fieldUsage x="0"/>
      </fieldsUsage>
    </cacheHierarchy>
    <cacheHierarchy uniqueName="[tColaboradores].[Rol]" caption="Rol" attribute="1" defaultMemberUniqueName="[tColaboradores].[Rol].[All]" allUniqueName="[tColaboradores].[Rol].[All]" dimensionUniqueName="[tColaboradores]" displayFolder="" count="0" memberValueDatatype="130" unbalanced="0"/>
    <cacheHierarchy uniqueName="[tColaboradores].[Area]" caption="Area" attribute="1" defaultMemberUniqueName="[tColaboradores].[Area].[All]" allUniqueName="[tColaboradores].[Area].[All]" dimensionUniqueName="[tColaboradores]" displayFolder="" count="0" memberValueDatatype="130" unbalanced="0"/>
    <cacheHierarchy uniqueName="[tColaboradores].[FechaIngreso]" caption="FechaIngreso" attribute="1" time="1" defaultMemberUniqueName="[tColaboradores].[FechaIngreso].[All]" allUniqueName="[tColaboradores].[FechaIngreso].[All]" dimensionUniqueName="[tColaboradores]" displayFolder="" count="0" memberValueDatatype="7" unbalanced="0"/>
    <cacheHierarchy uniqueName="[tHU].[HU_ID]" caption="HU_ID" attribute="1" defaultMemberUniqueName="[tHU].[HU_ID].[All]" allUniqueName="[tHU].[HU_ID].[All]" dimensionUniqueName="[tHU]" displayFolder="" count="0" memberValueDatatype="20" unbalanced="0"/>
    <cacheHierarchy uniqueName="[tHU].[Epica]" caption="Epica" attribute="1" defaultMemberUniqueName="[tHU].[Epica].[All]" allUniqueName="[tHU].[Epica].[All]" dimensionUniqueName="[tHU]" displayFolder="" count="0" memberValueDatatype="130" unbalanced="0"/>
    <cacheHierarchy uniqueName="[tHU].[HU_Codigo]" caption="HU_Codigo" attribute="1" defaultMemberUniqueName="[tHU].[HU_Codigo].[All]" allUniqueName="[tHU].[HU_Codigo].[All]" dimensionUniqueName="[tHU]" displayFolder="" count="0" memberValueDatatype="130" unbalanced="0"/>
    <cacheHierarchy uniqueName="[tHU].[NombreHistoria]" caption="NombreHistoria" attribute="1" defaultMemberUniqueName="[tHU].[NombreHistoria].[All]" allUniqueName="[tHU].[NombreHistoria].[All]" dimensionUniqueName="[tHU]" displayFolder="" count="0" memberValueDatatype="130" unbalanced="0"/>
    <cacheHierarchy uniqueName="[tHU].[Prioridad]" caption="Prioridad" attribute="1" defaultMemberUniqueName="[tHU].[Prioridad].[All]" allUniqueName="[tHU].[Prioridad].[All]" dimensionUniqueName="[tHU]" displayFolder="" count="2" memberValueDatatype="130" unbalanced="0">
      <fieldsUsage count="2">
        <fieldUsage x="-1"/>
        <fieldUsage x="3"/>
      </fieldsUsage>
    </cacheHierarchy>
    <cacheHierarchy uniqueName="[tHU].[PuntosEstimados]" caption="PuntosEstimados" attribute="1" defaultMemberUniqueName="[tHU].[PuntosEstimados].[All]" allUniqueName="[tHU].[PuntosEstimados].[All]" dimensionUniqueName="[tHU]" displayFolder="" count="0" memberValueDatatype="20" unbalanced="0"/>
    <cacheHierarchy uniqueName="[tHU].[ResponsableAsignadoID]" caption="ResponsableAsignadoID" attribute="1" defaultMemberUniqueName="[tHU].[ResponsableAsignadoID].[All]" allUniqueName="[tHU].[ResponsableAsignadoID].[All]" dimensionUniqueName="[tHU]" displayFolder="" count="0" memberValueDatatype="20" unbalanced="0"/>
    <cacheHierarchy uniqueName="[tHU].[FechaInicioEstimada]" caption="FechaInicioEstimada" attribute="1" time="1" defaultMemberUniqueName="[tHU].[FechaInicioEstimada].[All]" allUniqueName="[tHU].[FechaInicioEstimada].[All]" dimensionUniqueName="[tHU]" displayFolder="" count="0" memberValueDatatype="7" unbalanced="0"/>
    <cacheHierarchy uniqueName="[tHU].[FechaFinEstimada]" caption="FechaFinEstimada" attribute="1" time="1" defaultMemberUniqueName="[tHU].[FechaFinEstimada].[All]" allUniqueName="[tHU].[FechaFinEstimada].[All]" dimensionUniqueName="[tHU]" displayFolder="" count="0" memberValueDatatype="7" unbalanced="0"/>
    <cacheHierarchy uniqueName="[tHU].[DiasRetraso]" caption="DiasRetraso" attribute="1" defaultMemberUniqueName="[tHU].[DiasRetraso].[All]" allUniqueName="[tHU].[DiasRetraso].[All]" dimensionUniqueName="[tHU]" displayFolder="" count="0" memberValueDatatype="20" unbalanced="0"/>
    <cacheHierarchy uniqueName="[tAvances].[FechaRegistro (índice de días)]" caption="FechaRegistro (índice de días)" attribute="1" defaultMemberUniqueName="[tAvances].[FechaRegistro (índice de días)].[All]" allUniqueName="[tAvances].[FechaRegistro (índice de días)].[All]" dimensionUniqueName="[tAvances]" displayFolder="" count="0" memberValueDatatype="5" unbalanced="0" hidden="1"/>
    <cacheHierarchy uniqueName="[Measures].[HUs Completadas]" caption="HUs Completadas" measure="1" displayFolder="" measureGroup="tAvances" count="0"/>
    <cacheHierarchy uniqueName="[Measures].[% Avance]" caption="% Avance" measure="1" displayFolder="" measureGroup="tAvances" count="0"/>
    <cacheHierarchy uniqueName="[Measures].[__XL_Count tHU]" caption="__XL_Count tHU" measure="1" displayFolder="" measureGroup="tHU" count="0" hidden="1"/>
    <cacheHierarchy uniqueName="[Measures].[__XL_Count tAvances]" caption="__XL_Count tAvances" measure="1" displayFolder="" measureGroup="tAvances" count="0" hidden="1"/>
    <cacheHierarchy uniqueName="[Measures].[__XL_Count tColaboradores]" caption="__XL_Count tColaboradores" measure="1" displayFolder="" measureGroup="tColaboradores" count="0" hidden="1"/>
    <cacheHierarchy uniqueName="[Measures].[__No measures defined]" caption="__No measures defined" measure="1" displayFolder="" count="0" hidden="1"/>
    <cacheHierarchy uniqueName="[Measures].[Suma de HU_ID]" caption="Suma de HU_ID" measure="1" displayFolder="" measureGroup="tH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HU_ID]" caption="Recuento de HU_ID" measure="1" displayFolder="" measureGroup="tH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AvanceID]" caption="Suma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AvanceID]" caption="Recuento de AvanceID" measure="1" displayFolder="" measureGroup="tAvanc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HorasDedicadas]" caption="Suma de HorasDedicadas" measure="1" displayFolder="" measureGroup="tAvan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HU_ID 2]" caption="Suma de HU_ID 2" measure="1" displayFolder="" measureGroup="tAva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EsCompletada]" caption="Suma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EsCompletada]" caption="Recuent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EsCompletada]" caption="Promedi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PuntosEstimados]" caption="Suma de PuntosEstimados" measure="1" displayFolder="" measureGroup="tHU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tAvances" uniqueName="[tAvances]" caption="tAvances"/>
    <dimension name="tColaboradores" uniqueName="[tColaboradores]" caption="tColaboradores"/>
    <dimension name="tHU" uniqueName="[tHU]" caption="tHU"/>
  </dimensions>
  <measureGroups count="3">
    <measureGroup name="tAvances" caption="tAvances"/>
    <measureGroup name="tColaboradores" caption="tColaboradores"/>
    <measureGroup name="tHU" caption="tHU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7.056683564813" backgroundQuery="1" createdVersion="8" refreshedVersion="8" minRefreshableVersion="3" recordCount="0" supportSubquery="1" supportAdvancedDrill="1" xr:uid="{753CBC8D-9807-450D-9D9C-CB9938600713}">
  <cacheSource type="external" connectionId="1"/>
  <cacheFields count="4">
    <cacheField name="[tAvances].[FechaRegistro].[FechaRegistro]" caption="FechaRegistro" numFmtId="0" hierarchy="3" level="1">
      <sharedItems containsSemiMixedTypes="0" containsNonDate="0" containsDate="1" containsString="0" minDate="2025-11-01T00:00:00" maxDate="2025-11-27T00:00:00" count="24">
        <d v="2025-11-01T00:00:00"/>
        <d v="2025-11-03T00:00:00"/>
        <d v="2025-11-04T00:00:00"/>
        <d v="2025-11-05T00:00:00"/>
        <d v="2025-11-06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</sharedItems>
    </cacheField>
    <cacheField name="[Measures].[Suma de HorasDedicadas]" caption="Suma de HorasDedicadas" numFmtId="0" hierarchy="36" level="32767"/>
    <cacheField name="[tAvances].[FechaRegistro (día)].[FechaRegistro (día)]" caption="FechaRegistro (día)" numFmtId="0" hierarchy="9" level="1">
      <sharedItems count="24">
        <s v="1-Nov"/>
        <s v="3-Nov"/>
        <s v="4-Nov"/>
        <s v="5-Nov"/>
        <s v="6-Nov"/>
        <s v="8-Nov"/>
        <s v="9-Nov"/>
        <s v="10-Nov"/>
        <s v="11-Nov"/>
        <s v="12-Nov"/>
        <s v="13-Nov"/>
        <s v="14-Nov"/>
        <s v="15-Nov"/>
        <s v="16-Nov"/>
        <s v="17-Nov"/>
        <s v="18-Nov"/>
        <s v="19-Nov"/>
        <s v="20-Nov"/>
        <s v="21-Nov"/>
        <s v="22-Nov"/>
        <s v="23-Nov"/>
        <s v="24-Nov"/>
        <s v="25-Nov"/>
        <s v="26-Nov"/>
      </sharedItems>
    </cacheField>
    <cacheField name="[tHU].[Prioridad].[Prioridad]" caption="Prioridad" numFmtId="0" hierarchy="19" level="1">
      <sharedItems containsSemiMixedTypes="0" containsNonDate="0" containsString="0"/>
    </cacheField>
  </cacheFields>
  <cacheHierarchies count="42">
    <cacheHierarchy uniqueName="[tAvances].[AvanceID]" caption="AvanceID" attribute="1" defaultMemberUniqueName="[tAvances].[AvanceID].[All]" allUniqueName="[tAvances].[AvanceID].[All]" dimensionUniqueName="[tAvances]" displayFolder="" count="0" memberValueDatatype="20" unbalanced="0"/>
    <cacheHierarchy uniqueName="[tAvances].[HU_ID]" caption="HU_ID" attribute="1" defaultMemberUniqueName="[tAvances].[HU_ID].[All]" allUniqueName="[tAvances].[HU_ID].[All]" dimensionUniqueName="[tAvances]" displayFolder="" count="0" memberValueDatatype="20" unbalanced="0"/>
    <cacheHierarchy uniqueName="[tAvances].[ColaboradorID]" caption="ColaboradorID" attribute="1" defaultMemberUniqueName="[tAvances].[ColaboradorID].[All]" allUniqueName="[tAvances].[ColaboradorID].[All]" dimensionUniqueName="[tAvances]" displayFolder="" count="0" memberValueDatatype="20" unbalanced="0"/>
    <cacheHierarchy uniqueName="[tAvances].[FechaRegistro]" caption="FechaRegistro" attribute="1" time="1" defaultMemberUniqueName="[tAvances].[FechaRegistro].[All]" allUniqueName="[tAvances].[FechaRegistro].[All]" dimensionUniqueName="[tAvances]" displayFolder="" count="2" memberValueDatatype="7" unbalanced="0">
      <fieldsUsage count="2">
        <fieldUsage x="-1"/>
        <fieldUsage x="0"/>
      </fieldsUsage>
    </cacheHierarchy>
    <cacheHierarchy uniqueName="[tAvances].[HorasDedicadas]" caption="HorasDedicadas" attribute="1" defaultMemberUniqueName="[tAvances].[HorasDedicadas].[All]" allUniqueName="[tAvances].[HorasDedicadas].[All]" dimensionUniqueName="[tAvances]" displayFolder="" count="0" memberValueDatatype="20" unbalanced="0"/>
    <cacheHierarchy uniqueName="[tAvances].[EstadoAvance]" caption="EstadoAvance" attribute="1" defaultMemberUniqueName="[tAvances].[EstadoAvance].[All]" allUniqueName="[tAvances].[EstadoAvance].[All]" dimensionUniqueName="[tAvances]" displayFolder="" count="2" memberValueDatatype="130" unbalanced="0"/>
    <cacheHierarchy uniqueName="[tAvances].[Comentario]" caption="Comentario" attribute="1" defaultMemberUniqueName="[tAvances].[Comentario].[All]" allUniqueName="[tAvances].[Comentario].[All]" dimensionUniqueName="[tAvances]" displayFolder="" count="0" memberValueDatatype="130" unbalanced="0"/>
    <cacheHierarchy uniqueName="[tAvances].[EsCompletada]" caption="EsCompletada" attribute="1" defaultMemberUniqueName="[tAvances].[EsCompletada].[All]" allUniqueName="[tAvances].[EsCompletada].[All]" dimensionUniqueName="[tAvances]" displayFolder="" count="0" memberValueDatatype="20" unbalanced="0"/>
    <cacheHierarchy uniqueName="[tAvances].[Áreas]" caption="Áreas" attribute="1" defaultMemberUniqueName="[tAvances].[Áreas].[All]" allUniqueName="[tAvances].[Áreas].[All]" dimensionUniqueName="[tAvances]" displayFolder="" count="0" memberValueDatatype="130" unbalanced="0"/>
    <cacheHierarchy uniqueName="[tAvances].[FechaRegistro (día)]" caption="FechaRegistro (día)" attribute="1" defaultMemberUniqueName="[tAvances].[FechaRegistro (día)].[All]" allUniqueName="[tAvances].[FechaRegistro (día)].[All]" dimensionUniqueName="[tAvances]" displayFolder="" count="2" memberValueDatatype="130" unbalanced="0">
      <fieldsUsage count="2">
        <fieldUsage x="-1"/>
        <fieldUsage x="2"/>
      </fieldsUsage>
    </cacheHierarchy>
    <cacheHierarchy uniqueName="[tColaboradores].[Colaborador ID]" caption="Colaborador ID" attribute="1" defaultMemberUniqueName="[tColaboradores].[Colaborador ID].[All]" allUniqueName="[tColaboradores].[Colaborador ID].[All]" dimensionUniqueName="[tColaboradores]" displayFolder="" count="0" memberValueDatatype="20" unbalanced="0"/>
    <cacheHierarchy uniqueName="[tColaboradores].[Nombres]" caption="Nombres" attribute="1" defaultMemberUniqueName="[tColaboradores].[Nombres].[All]" allUniqueName="[tColaboradores].[Nombres].[All]" dimensionUniqueName="[tColaboradores]" displayFolder="" count="0" memberValueDatatype="130" unbalanced="0"/>
    <cacheHierarchy uniqueName="[tColaboradores].[Rol]" caption="Rol" attribute="1" defaultMemberUniqueName="[tColaboradores].[Rol].[All]" allUniqueName="[tColaboradores].[Rol].[All]" dimensionUniqueName="[tColaboradores]" displayFolder="" count="0" memberValueDatatype="130" unbalanced="0"/>
    <cacheHierarchy uniqueName="[tColaboradores].[Area]" caption="Area" attribute="1" defaultMemberUniqueName="[tColaboradores].[Area].[All]" allUniqueName="[tColaboradores].[Area].[All]" dimensionUniqueName="[tColaboradores]" displayFolder="" count="0" memberValueDatatype="130" unbalanced="0"/>
    <cacheHierarchy uniqueName="[tColaboradores].[FechaIngreso]" caption="FechaIngreso" attribute="1" time="1" defaultMemberUniqueName="[tColaboradores].[FechaIngreso].[All]" allUniqueName="[tColaboradores].[FechaIngreso].[All]" dimensionUniqueName="[tColaboradores]" displayFolder="" count="0" memberValueDatatype="7" unbalanced="0"/>
    <cacheHierarchy uniqueName="[tHU].[HU_ID]" caption="HU_ID" attribute="1" defaultMemberUniqueName="[tHU].[HU_ID].[All]" allUniqueName="[tHU].[HU_ID].[All]" dimensionUniqueName="[tHU]" displayFolder="" count="0" memberValueDatatype="20" unbalanced="0"/>
    <cacheHierarchy uniqueName="[tHU].[Epica]" caption="Epica" attribute="1" defaultMemberUniqueName="[tHU].[Epica].[All]" allUniqueName="[tHU].[Epica].[All]" dimensionUniqueName="[tHU]" displayFolder="" count="0" memberValueDatatype="130" unbalanced="0"/>
    <cacheHierarchy uniqueName="[tHU].[HU_Codigo]" caption="HU_Codigo" attribute="1" defaultMemberUniqueName="[tHU].[HU_Codigo].[All]" allUniqueName="[tHU].[HU_Codigo].[All]" dimensionUniqueName="[tHU]" displayFolder="" count="0" memberValueDatatype="130" unbalanced="0"/>
    <cacheHierarchy uniqueName="[tHU].[NombreHistoria]" caption="NombreHistoria" attribute="1" defaultMemberUniqueName="[tHU].[NombreHistoria].[All]" allUniqueName="[tHU].[NombreHistoria].[All]" dimensionUniqueName="[tHU]" displayFolder="" count="0" memberValueDatatype="130" unbalanced="0"/>
    <cacheHierarchy uniqueName="[tHU].[Prioridad]" caption="Prioridad" attribute="1" defaultMemberUniqueName="[tHU].[Prioridad].[All]" allUniqueName="[tHU].[Prioridad].[All]" dimensionUniqueName="[tHU]" displayFolder="" count="2" memberValueDatatype="130" unbalanced="0">
      <fieldsUsage count="2">
        <fieldUsage x="-1"/>
        <fieldUsage x="3"/>
      </fieldsUsage>
    </cacheHierarchy>
    <cacheHierarchy uniqueName="[tHU].[PuntosEstimados]" caption="PuntosEstimados" attribute="1" defaultMemberUniqueName="[tHU].[PuntosEstimados].[All]" allUniqueName="[tHU].[PuntosEstimados].[All]" dimensionUniqueName="[tHU]" displayFolder="" count="0" memberValueDatatype="20" unbalanced="0"/>
    <cacheHierarchy uniqueName="[tHU].[ResponsableAsignadoID]" caption="ResponsableAsignadoID" attribute="1" defaultMemberUniqueName="[tHU].[ResponsableAsignadoID].[All]" allUniqueName="[tHU].[ResponsableAsignadoID].[All]" dimensionUniqueName="[tHU]" displayFolder="" count="0" memberValueDatatype="20" unbalanced="0"/>
    <cacheHierarchy uniqueName="[tHU].[FechaInicioEstimada]" caption="FechaInicioEstimada" attribute="1" time="1" defaultMemberUniqueName="[tHU].[FechaInicioEstimada].[All]" allUniqueName="[tHU].[FechaInicioEstimada].[All]" dimensionUniqueName="[tHU]" displayFolder="" count="0" memberValueDatatype="7" unbalanced="0"/>
    <cacheHierarchy uniqueName="[tHU].[FechaFinEstimada]" caption="FechaFinEstimada" attribute="1" time="1" defaultMemberUniqueName="[tHU].[FechaFinEstimada].[All]" allUniqueName="[tHU].[FechaFinEstimada].[All]" dimensionUniqueName="[tHU]" displayFolder="" count="0" memberValueDatatype="7" unbalanced="0"/>
    <cacheHierarchy uniqueName="[tHU].[DiasRetraso]" caption="DiasRetraso" attribute="1" defaultMemberUniqueName="[tHU].[DiasRetraso].[All]" allUniqueName="[tHU].[DiasRetraso].[All]" dimensionUniqueName="[tHU]" displayFolder="" count="0" memberValueDatatype="20" unbalanced="0"/>
    <cacheHierarchy uniqueName="[tAvances].[FechaRegistro (índice de días)]" caption="FechaRegistro (índice de días)" attribute="1" defaultMemberUniqueName="[tAvances].[FechaRegistro (índice de días)].[All]" allUniqueName="[tAvances].[FechaRegistro (índice de días)].[All]" dimensionUniqueName="[tAvances]" displayFolder="" count="0" memberValueDatatype="5" unbalanced="0" hidden="1"/>
    <cacheHierarchy uniqueName="[Measures].[HUs Completadas]" caption="HUs Completadas" measure="1" displayFolder="" measureGroup="tAvances" count="0"/>
    <cacheHierarchy uniqueName="[Measures].[% Avance]" caption="% Avance" measure="1" displayFolder="" measureGroup="tAvances" count="0"/>
    <cacheHierarchy uniqueName="[Measures].[__XL_Count tHU]" caption="__XL_Count tHU" measure="1" displayFolder="" measureGroup="tHU" count="0" hidden="1"/>
    <cacheHierarchy uniqueName="[Measures].[__XL_Count tAvances]" caption="__XL_Count tAvances" measure="1" displayFolder="" measureGroup="tAvances" count="0" hidden="1"/>
    <cacheHierarchy uniqueName="[Measures].[__XL_Count tColaboradores]" caption="__XL_Count tColaboradores" measure="1" displayFolder="" measureGroup="tColaboradores" count="0" hidden="1"/>
    <cacheHierarchy uniqueName="[Measures].[__No measures defined]" caption="__No measures defined" measure="1" displayFolder="" count="0" hidden="1"/>
    <cacheHierarchy uniqueName="[Measures].[Suma de HU_ID]" caption="Suma de HU_ID" measure="1" displayFolder="" measureGroup="tH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HU_ID]" caption="Recuento de HU_ID" measure="1" displayFolder="" measureGroup="tH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AvanceID]" caption="Suma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AvanceID]" caption="Recuento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HorasDedicadas]" caption="Suma de HorasDedicadas" measure="1" displayFolder="" measureGroup="tAvanc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HU_ID 2]" caption="Suma de HU_ID 2" measure="1" displayFolder="" measureGroup="tAva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EsCompletada]" caption="Suma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EsCompletada]" caption="Recuent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EsCompletada]" caption="Promedi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PuntosEstimados]" caption="Suma de PuntosEstimados" measure="1" displayFolder="" measureGroup="tHU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tAvances" uniqueName="[tAvances]" caption="tAvances"/>
    <dimension name="tColaboradores" uniqueName="[tColaboradores]" caption="tColaboradores"/>
    <dimension name="tHU" uniqueName="[tHU]" caption="tHU"/>
  </dimensions>
  <measureGroups count="3">
    <measureGroup name="tAvances" caption="tAvances"/>
    <measureGroup name="tColaboradores" caption="tColaboradores"/>
    <measureGroup name="tHU" caption="tHU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7.056684027775" backgroundQuery="1" createdVersion="8" refreshedVersion="8" minRefreshableVersion="3" recordCount="0" supportSubquery="1" supportAdvancedDrill="1" xr:uid="{32422F11-F34B-4D32-B31E-6C3424A07CB2}">
  <cacheSource type="external" connectionId="1"/>
  <cacheFields count="3">
    <cacheField name="[tHU].[Prioridad].[Prioridad]" caption="Prioridad" numFmtId="0" hierarchy="19" level="1">
      <sharedItems count="3">
        <s v="Alta"/>
        <s v="Baja"/>
        <s v="Media"/>
      </sharedItems>
    </cacheField>
    <cacheField name="[Measures].[Recuento de HU_ID]" caption="Recuento de HU_ID" numFmtId="0" hierarchy="33" level="32767"/>
    <cacheField name="[Measures].[Suma de EsCompletada]" caption="Suma de EsCompletada" numFmtId="0" hierarchy="38" level="32767"/>
  </cacheFields>
  <cacheHierarchies count="42">
    <cacheHierarchy uniqueName="[tAvances].[AvanceID]" caption="AvanceID" attribute="1" defaultMemberUniqueName="[tAvances].[AvanceID].[All]" allUniqueName="[tAvances].[AvanceID].[All]" dimensionUniqueName="[tAvances]" displayFolder="" count="0" memberValueDatatype="20" unbalanced="0"/>
    <cacheHierarchy uniqueName="[tAvances].[HU_ID]" caption="HU_ID" attribute="1" defaultMemberUniqueName="[tAvances].[HU_ID].[All]" allUniqueName="[tAvances].[HU_ID].[All]" dimensionUniqueName="[tAvances]" displayFolder="" count="0" memberValueDatatype="20" unbalanced="0"/>
    <cacheHierarchy uniqueName="[tAvances].[ColaboradorID]" caption="ColaboradorID" attribute="1" defaultMemberUniqueName="[tAvances].[ColaboradorID].[All]" allUniqueName="[tAvances].[ColaboradorID].[All]" dimensionUniqueName="[tAvances]" displayFolder="" count="0" memberValueDatatype="20" unbalanced="0"/>
    <cacheHierarchy uniqueName="[tAvances].[FechaRegistro]" caption="FechaRegistro" attribute="1" time="1" defaultMemberUniqueName="[tAvances].[FechaRegistro].[All]" allUniqueName="[tAvances].[FechaRegistro].[All]" dimensionUniqueName="[tAvances]" displayFolder="" count="0" memberValueDatatype="7" unbalanced="0"/>
    <cacheHierarchy uniqueName="[tAvances].[HorasDedicadas]" caption="HorasDedicadas" attribute="1" defaultMemberUniqueName="[tAvances].[HorasDedicadas].[All]" allUniqueName="[tAvances].[HorasDedicadas].[All]" dimensionUniqueName="[tAvances]" displayFolder="" count="0" memberValueDatatype="20" unbalanced="0"/>
    <cacheHierarchy uniqueName="[tAvances].[EstadoAvance]" caption="EstadoAvance" attribute="1" defaultMemberUniqueName="[tAvances].[EstadoAvance].[All]" allUniqueName="[tAvances].[EstadoAvance].[All]" dimensionUniqueName="[tAvances]" displayFolder="" count="2" memberValueDatatype="130" unbalanced="0"/>
    <cacheHierarchy uniqueName="[tAvances].[Comentario]" caption="Comentario" attribute="1" defaultMemberUniqueName="[tAvances].[Comentario].[All]" allUniqueName="[tAvances].[Comentario].[All]" dimensionUniqueName="[tAvances]" displayFolder="" count="0" memberValueDatatype="130" unbalanced="0"/>
    <cacheHierarchy uniqueName="[tAvances].[EsCompletada]" caption="EsCompletada" attribute="1" defaultMemberUniqueName="[tAvances].[EsCompletada].[All]" allUniqueName="[tAvances].[EsCompletada].[All]" dimensionUniqueName="[tAvances]" displayFolder="" count="0" memberValueDatatype="20" unbalanced="0"/>
    <cacheHierarchy uniqueName="[tAvances].[Áreas]" caption="Áreas" attribute="1" defaultMemberUniqueName="[tAvances].[Áreas].[All]" allUniqueName="[tAvances].[Áreas].[All]" dimensionUniqueName="[tAvances]" displayFolder="" count="0" memberValueDatatype="130" unbalanced="0"/>
    <cacheHierarchy uniqueName="[tAvances].[FechaRegistro (día)]" caption="FechaRegistro (día)" attribute="1" defaultMemberUniqueName="[tAvances].[FechaRegistro (día)].[All]" allUniqueName="[tAvances].[FechaRegistro (día)].[All]" dimensionUniqueName="[tAvances]" displayFolder="" count="0" memberValueDatatype="130" unbalanced="0"/>
    <cacheHierarchy uniqueName="[tColaboradores].[Colaborador ID]" caption="Colaborador ID" attribute="1" defaultMemberUniqueName="[tColaboradores].[Colaborador ID].[All]" allUniqueName="[tColaboradores].[Colaborador ID].[All]" dimensionUniqueName="[tColaboradores]" displayFolder="" count="0" memberValueDatatype="20" unbalanced="0"/>
    <cacheHierarchy uniqueName="[tColaboradores].[Nombres]" caption="Nombres" attribute="1" defaultMemberUniqueName="[tColaboradores].[Nombres].[All]" allUniqueName="[tColaboradores].[Nombres].[All]" dimensionUniqueName="[tColaboradores]" displayFolder="" count="0" memberValueDatatype="130" unbalanced="0"/>
    <cacheHierarchy uniqueName="[tColaboradores].[Rol]" caption="Rol" attribute="1" defaultMemberUniqueName="[tColaboradores].[Rol].[All]" allUniqueName="[tColaboradores].[Rol].[All]" dimensionUniqueName="[tColaboradores]" displayFolder="" count="0" memberValueDatatype="130" unbalanced="0"/>
    <cacheHierarchy uniqueName="[tColaboradores].[Area]" caption="Area" attribute="1" defaultMemberUniqueName="[tColaboradores].[Area].[All]" allUniqueName="[tColaboradores].[Area].[All]" dimensionUniqueName="[tColaboradores]" displayFolder="" count="0" memberValueDatatype="130" unbalanced="0"/>
    <cacheHierarchy uniqueName="[tColaboradores].[FechaIngreso]" caption="FechaIngreso" attribute="1" time="1" defaultMemberUniqueName="[tColaboradores].[FechaIngreso].[All]" allUniqueName="[tColaboradores].[FechaIngreso].[All]" dimensionUniqueName="[tColaboradores]" displayFolder="" count="0" memberValueDatatype="7" unbalanced="0"/>
    <cacheHierarchy uniqueName="[tHU].[HU_ID]" caption="HU_ID" attribute="1" defaultMemberUniqueName="[tHU].[HU_ID].[All]" allUniqueName="[tHU].[HU_ID].[All]" dimensionUniqueName="[tHU]" displayFolder="" count="0" memberValueDatatype="20" unbalanced="0"/>
    <cacheHierarchy uniqueName="[tHU].[Epica]" caption="Epica" attribute="1" defaultMemberUniqueName="[tHU].[Epica].[All]" allUniqueName="[tHU].[Epica].[All]" dimensionUniqueName="[tHU]" displayFolder="" count="0" memberValueDatatype="130" unbalanced="0"/>
    <cacheHierarchy uniqueName="[tHU].[HU_Codigo]" caption="HU_Codigo" attribute="1" defaultMemberUniqueName="[tHU].[HU_Codigo].[All]" allUniqueName="[tHU].[HU_Codigo].[All]" dimensionUniqueName="[tHU]" displayFolder="" count="0" memberValueDatatype="130" unbalanced="0"/>
    <cacheHierarchy uniqueName="[tHU].[NombreHistoria]" caption="NombreHistoria" attribute="1" defaultMemberUniqueName="[tHU].[NombreHistoria].[All]" allUniqueName="[tHU].[NombreHistoria].[All]" dimensionUniqueName="[tHU]" displayFolder="" count="0" memberValueDatatype="130" unbalanced="0"/>
    <cacheHierarchy uniqueName="[tHU].[Prioridad]" caption="Prioridad" attribute="1" defaultMemberUniqueName="[tHU].[Prioridad].[All]" allUniqueName="[tHU].[Prioridad].[All]" dimensionUniqueName="[tHU]" displayFolder="" count="2" memberValueDatatype="130" unbalanced="0">
      <fieldsUsage count="2">
        <fieldUsage x="-1"/>
        <fieldUsage x="0"/>
      </fieldsUsage>
    </cacheHierarchy>
    <cacheHierarchy uniqueName="[tHU].[PuntosEstimados]" caption="PuntosEstimados" attribute="1" defaultMemberUniqueName="[tHU].[PuntosEstimados].[All]" allUniqueName="[tHU].[PuntosEstimados].[All]" dimensionUniqueName="[tHU]" displayFolder="" count="0" memberValueDatatype="20" unbalanced="0"/>
    <cacheHierarchy uniqueName="[tHU].[ResponsableAsignadoID]" caption="ResponsableAsignadoID" attribute="1" defaultMemberUniqueName="[tHU].[ResponsableAsignadoID].[All]" allUniqueName="[tHU].[ResponsableAsignadoID].[All]" dimensionUniqueName="[tHU]" displayFolder="" count="0" memberValueDatatype="20" unbalanced="0"/>
    <cacheHierarchy uniqueName="[tHU].[FechaInicioEstimada]" caption="FechaInicioEstimada" attribute="1" time="1" defaultMemberUniqueName="[tHU].[FechaInicioEstimada].[All]" allUniqueName="[tHU].[FechaInicioEstimada].[All]" dimensionUniqueName="[tHU]" displayFolder="" count="0" memberValueDatatype="7" unbalanced="0"/>
    <cacheHierarchy uniqueName="[tHU].[FechaFinEstimada]" caption="FechaFinEstimada" attribute="1" time="1" defaultMemberUniqueName="[tHU].[FechaFinEstimada].[All]" allUniqueName="[tHU].[FechaFinEstimada].[All]" dimensionUniqueName="[tHU]" displayFolder="" count="0" memberValueDatatype="7" unbalanced="0"/>
    <cacheHierarchy uniqueName="[tHU].[DiasRetraso]" caption="DiasRetraso" attribute="1" defaultMemberUniqueName="[tHU].[DiasRetraso].[All]" allUniqueName="[tHU].[DiasRetraso].[All]" dimensionUniqueName="[tHU]" displayFolder="" count="0" memberValueDatatype="20" unbalanced="0"/>
    <cacheHierarchy uniqueName="[tAvances].[FechaRegistro (índice de días)]" caption="FechaRegistro (índice de días)" attribute="1" defaultMemberUniqueName="[tAvances].[FechaRegistro (índice de días)].[All]" allUniqueName="[tAvances].[FechaRegistro (índice de días)].[All]" dimensionUniqueName="[tAvances]" displayFolder="" count="0" memberValueDatatype="5" unbalanced="0" hidden="1"/>
    <cacheHierarchy uniqueName="[Measures].[HUs Completadas]" caption="HUs Completadas" measure="1" displayFolder="" measureGroup="tAvances" count="0"/>
    <cacheHierarchy uniqueName="[Measures].[% Avance]" caption="% Avance" measure="1" displayFolder="" measureGroup="tAvances" count="0"/>
    <cacheHierarchy uniqueName="[Measures].[__XL_Count tHU]" caption="__XL_Count tHU" measure="1" displayFolder="" measureGroup="tHU" count="0" hidden="1"/>
    <cacheHierarchy uniqueName="[Measures].[__XL_Count tAvances]" caption="__XL_Count tAvances" measure="1" displayFolder="" measureGroup="tAvances" count="0" hidden="1"/>
    <cacheHierarchy uniqueName="[Measures].[__XL_Count tColaboradores]" caption="__XL_Count tColaboradores" measure="1" displayFolder="" measureGroup="tColaboradores" count="0" hidden="1"/>
    <cacheHierarchy uniqueName="[Measures].[__No measures defined]" caption="__No measures defined" measure="1" displayFolder="" count="0" hidden="1"/>
    <cacheHierarchy uniqueName="[Measures].[Suma de HU_ID]" caption="Suma de HU_ID" measure="1" displayFolder="" measureGroup="tH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HU_ID]" caption="Recuento de HU_ID" measure="1" displayFolder="" measureGroup="tHU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AvanceID]" caption="Suma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AvanceID]" caption="Recuento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HorasDedicadas]" caption="Suma de HorasDedicadas" measure="1" displayFolder="" measureGroup="tAvan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HU_ID 2]" caption="Suma de HU_ID 2" measure="1" displayFolder="" measureGroup="tAva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EsCompletada]" caption="Suma de EsCompletada" measure="1" displayFolder="" measureGroup="tAvanc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EsCompletada]" caption="Recuent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EsCompletada]" caption="Promedi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PuntosEstimados]" caption="Suma de PuntosEstimados" measure="1" displayFolder="" measureGroup="tHU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tAvances" uniqueName="[tAvances]" caption="tAvances"/>
    <dimension name="tColaboradores" uniqueName="[tColaboradores]" caption="tColaboradores"/>
    <dimension name="tHU" uniqueName="[tHU]" caption="tHU"/>
  </dimensions>
  <measureGroups count="3">
    <measureGroup name="tAvances" caption="tAvances"/>
    <measureGroup name="tColaboradores" caption="tColaboradores"/>
    <measureGroup name="tHU" caption="tHU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7.056684374998" backgroundQuery="1" createdVersion="8" refreshedVersion="8" minRefreshableVersion="3" recordCount="0" supportSubquery="1" supportAdvancedDrill="1" xr:uid="{C87908C6-EC92-44C5-8AE5-1A3C0224BF46}">
  <cacheSource type="external" connectionId="1"/>
  <cacheFields count="4">
    <cacheField name="[tHU].[Epica].[Epica]" caption="Epica" numFmtId="0" hierarchy="16" level="1">
      <sharedItems count="5">
        <s v="Autenticación y Seguridad"/>
        <s v="Comunicados"/>
        <s v="Dashboard General"/>
        <s v="Home Gerencia"/>
        <s v="Mi Asistencia"/>
      </sharedItems>
    </cacheField>
    <cacheField name="[Measures].[Recuento de HU_ID]" caption="Recuento de HU_ID" numFmtId="0" hierarchy="33" level="32767"/>
    <cacheField name="[tHU].[FechaFinEstimada].[FechaFinEstimada]" caption="FechaFinEstimada" numFmtId="0" hierarchy="23" level="1">
      <sharedItems containsSemiMixedTypes="0" containsNonDate="0" containsString="0"/>
    </cacheField>
    <cacheField name="[tHU].[Prioridad].[Prioridad]" caption="Prioridad" numFmtId="0" hierarchy="19" level="1">
      <sharedItems containsSemiMixedTypes="0" containsNonDate="0" containsString="0"/>
    </cacheField>
  </cacheFields>
  <cacheHierarchies count="42">
    <cacheHierarchy uniqueName="[tAvances].[AvanceID]" caption="AvanceID" attribute="1" defaultMemberUniqueName="[tAvances].[AvanceID].[All]" allUniqueName="[tAvances].[AvanceID].[All]" dimensionUniqueName="[tAvances]" displayFolder="" count="0" memberValueDatatype="20" unbalanced="0"/>
    <cacheHierarchy uniqueName="[tAvances].[HU_ID]" caption="HU_ID" attribute="1" defaultMemberUniqueName="[tAvances].[HU_ID].[All]" allUniqueName="[tAvances].[HU_ID].[All]" dimensionUniqueName="[tAvances]" displayFolder="" count="0" memberValueDatatype="20" unbalanced="0"/>
    <cacheHierarchy uniqueName="[tAvances].[ColaboradorID]" caption="ColaboradorID" attribute="1" defaultMemberUniqueName="[tAvances].[ColaboradorID].[All]" allUniqueName="[tAvances].[ColaboradorID].[All]" dimensionUniqueName="[tAvances]" displayFolder="" count="0" memberValueDatatype="20" unbalanced="0"/>
    <cacheHierarchy uniqueName="[tAvances].[FechaRegistro]" caption="FechaRegistro" attribute="1" time="1" defaultMemberUniqueName="[tAvances].[FechaRegistro].[All]" allUniqueName="[tAvances].[FechaRegistro].[All]" dimensionUniqueName="[tAvances]" displayFolder="" count="0" memberValueDatatype="7" unbalanced="0"/>
    <cacheHierarchy uniqueName="[tAvances].[HorasDedicadas]" caption="HorasDedicadas" attribute="1" defaultMemberUniqueName="[tAvances].[HorasDedicadas].[All]" allUniqueName="[tAvances].[HorasDedicadas].[All]" dimensionUniqueName="[tAvances]" displayFolder="" count="0" memberValueDatatype="20" unbalanced="0"/>
    <cacheHierarchy uniqueName="[tAvances].[EstadoAvance]" caption="EstadoAvance" attribute="1" defaultMemberUniqueName="[tAvances].[EstadoAvance].[All]" allUniqueName="[tAvances].[EstadoAvance].[All]" dimensionUniqueName="[tAvances]" displayFolder="" count="2" memberValueDatatype="130" unbalanced="0"/>
    <cacheHierarchy uniqueName="[tAvances].[Comentario]" caption="Comentario" attribute="1" defaultMemberUniqueName="[tAvances].[Comentario].[All]" allUniqueName="[tAvances].[Comentario].[All]" dimensionUniqueName="[tAvances]" displayFolder="" count="0" memberValueDatatype="130" unbalanced="0"/>
    <cacheHierarchy uniqueName="[tAvances].[EsCompletada]" caption="EsCompletada" attribute="1" defaultMemberUniqueName="[tAvances].[EsCompletada].[All]" allUniqueName="[tAvances].[EsCompletada].[All]" dimensionUniqueName="[tAvances]" displayFolder="" count="0" memberValueDatatype="20" unbalanced="0"/>
    <cacheHierarchy uniqueName="[tAvances].[Áreas]" caption="Áreas" attribute="1" defaultMemberUniqueName="[tAvances].[Áreas].[All]" allUniqueName="[tAvances].[Áreas].[All]" dimensionUniqueName="[tAvances]" displayFolder="" count="0" memberValueDatatype="130" unbalanced="0"/>
    <cacheHierarchy uniqueName="[tAvances].[FechaRegistro (día)]" caption="FechaRegistro (día)" attribute="1" defaultMemberUniqueName="[tAvances].[FechaRegistro (día)].[All]" allUniqueName="[tAvances].[FechaRegistro (día)].[All]" dimensionUniqueName="[tAvances]" displayFolder="" count="0" memberValueDatatype="130" unbalanced="0"/>
    <cacheHierarchy uniqueName="[tColaboradores].[Colaborador ID]" caption="Colaborador ID" attribute="1" defaultMemberUniqueName="[tColaboradores].[Colaborador ID].[All]" allUniqueName="[tColaboradores].[Colaborador ID].[All]" dimensionUniqueName="[tColaboradores]" displayFolder="" count="0" memberValueDatatype="20" unbalanced="0"/>
    <cacheHierarchy uniqueName="[tColaboradores].[Nombres]" caption="Nombres" attribute="1" defaultMemberUniqueName="[tColaboradores].[Nombres].[All]" allUniqueName="[tColaboradores].[Nombres].[All]" dimensionUniqueName="[tColaboradores]" displayFolder="" count="0" memberValueDatatype="130" unbalanced="0"/>
    <cacheHierarchy uniqueName="[tColaboradores].[Rol]" caption="Rol" attribute="1" defaultMemberUniqueName="[tColaboradores].[Rol].[All]" allUniqueName="[tColaboradores].[Rol].[All]" dimensionUniqueName="[tColaboradores]" displayFolder="" count="0" memberValueDatatype="130" unbalanced="0"/>
    <cacheHierarchy uniqueName="[tColaboradores].[Area]" caption="Area" attribute="1" defaultMemberUniqueName="[tColaboradores].[Area].[All]" allUniqueName="[tColaboradores].[Area].[All]" dimensionUniqueName="[tColaboradores]" displayFolder="" count="0" memberValueDatatype="130" unbalanced="0"/>
    <cacheHierarchy uniqueName="[tColaboradores].[FechaIngreso]" caption="FechaIngreso" attribute="1" time="1" defaultMemberUniqueName="[tColaboradores].[FechaIngreso].[All]" allUniqueName="[tColaboradores].[FechaIngreso].[All]" dimensionUniqueName="[tColaboradores]" displayFolder="" count="0" memberValueDatatype="7" unbalanced="0"/>
    <cacheHierarchy uniqueName="[tHU].[HU_ID]" caption="HU_ID" attribute="1" defaultMemberUniqueName="[tHU].[HU_ID].[All]" allUniqueName="[tHU].[HU_ID].[All]" dimensionUniqueName="[tHU]" displayFolder="" count="0" memberValueDatatype="20" unbalanced="0"/>
    <cacheHierarchy uniqueName="[tHU].[Epica]" caption="Epica" attribute="1" defaultMemberUniqueName="[tHU].[Epica].[All]" allUniqueName="[tHU].[Epica].[All]" dimensionUniqueName="[tHU]" displayFolder="" count="2" memberValueDatatype="130" unbalanced="0">
      <fieldsUsage count="2">
        <fieldUsage x="-1"/>
        <fieldUsage x="0"/>
      </fieldsUsage>
    </cacheHierarchy>
    <cacheHierarchy uniqueName="[tHU].[HU_Codigo]" caption="HU_Codigo" attribute="1" defaultMemberUniqueName="[tHU].[HU_Codigo].[All]" allUniqueName="[tHU].[HU_Codigo].[All]" dimensionUniqueName="[tHU]" displayFolder="" count="0" memberValueDatatype="130" unbalanced="0"/>
    <cacheHierarchy uniqueName="[tHU].[NombreHistoria]" caption="NombreHistoria" attribute="1" defaultMemberUniqueName="[tHU].[NombreHistoria].[All]" allUniqueName="[tHU].[NombreHistoria].[All]" dimensionUniqueName="[tHU]" displayFolder="" count="0" memberValueDatatype="130" unbalanced="0"/>
    <cacheHierarchy uniqueName="[tHU].[Prioridad]" caption="Prioridad" attribute="1" defaultMemberUniqueName="[tHU].[Prioridad].[All]" allUniqueName="[tHU].[Prioridad].[All]" dimensionUniqueName="[tHU]" displayFolder="" count="2" memberValueDatatype="130" unbalanced="0">
      <fieldsUsage count="2">
        <fieldUsage x="-1"/>
        <fieldUsage x="3"/>
      </fieldsUsage>
    </cacheHierarchy>
    <cacheHierarchy uniqueName="[tHU].[PuntosEstimados]" caption="PuntosEstimados" attribute="1" defaultMemberUniqueName="[tHU].[PuntosEstimados].[All]" allUniqueName="[tHU].[PuntosEstimados].[All]" dimensionUniqueName="[tHU]" displayFolder="" count="0" memberValueDatatype="20" unbalanced="0"/>
    <cacheHierarchy uniqueName="[tHU].[ResponsableAsignadoID]" caption="ResponsableAsignadoID" attribute="1" defaultMemberUniqueName="[tHU].[ResponsableAsignadoID].[All]" allUniqueName="[tHU].[ResponsableAsignadoID].[All]" dimensionUniqueName="[tHU]" displayFolder="" count="0" memberValueDatatype="20" unbalanced="0"/>
    <cacheHierarchy uniqueName="[tHU].[FechaInicioEstimada]" caption="FechaInicioEstimada" attribute="1" time="1" defaultMemberUniqueName="[tHU].[FechaInicioEstimada].[All]" allUniqueName="[tHU].[FechaInicioEstimada].[All]" dimensionUniqueName="[tHU]" displayFolder="" count="0" memberValueDatatype="7" unbalanced="0"/>
    <cacheHierarchy uniqueName="[tHU].[FechaFinEstimada]" caption="FechaFinEstimada" attribute="1" time="1" defaultMemberUniqueName="[tHU].[FechaFinEstimada].[All]" allUniqueName="[tHU].[FechaFinEstimada].[All]" dimensionUniqueName="[tHU]" displayFolder="" count="2" memberValueDatatype="7" unbalanced="0">
      <fieldsUsage count="2">
        <fieldUsage x="-1"/>
        <fieldUsage x="2"/>
      </fieldsUsage>
    </cacheHierarchy>
    <cacheHierarchy uniqueName="[tHU].[DiasRetraso]" caption="DiasRetraso" attribute="1" defaultMemberUniqueName="[tHU].[DiasRetraso].[All]" allUniqueName="[tHU].[DiasRetraso].[All]" dimensionUniqueName="[tHU]" displayFolder="" count="0" memberValueDatatype="20" unbalanced="0"/>
    <cacheHierarchy uniqueName="[tAvances].[FechaRegistro (índice de días)]" caption="FechaRegistro (índice de días)" attribute="1" defaultMemberUniqueName="[tAvances].[FechaRegistro (índice de días)].[All]" allUniqueName="[tAvances].[FechaRegistro (índice de días)].[All]" dimensionUniqueName="[tAvances]" displayFolder="" count="0" memberValueDatatype="5" unbalanced="0" hidden="1"/>
    <cacheHierarchy uniqueName="[Measures].[HUs Completadas]" caption="HUs Completadas" measure="1" displayFolder="" measureGroup="tAvances" count="0"/>
    <cacheHierarchy uniqueName="[Measures].[% Avance]" caption="% Avance" measure="1" displayFolder="" measureGroup="tAvances" count="0"/>
    <cacheHierarchy uniqueName="[Measures].[__XL_Count tHU]" caption="__XL_Count tHU" measure="1" displayFolder="" measureGroup="tHU" count="0" hidden="1"/>
    <cacheHierarchy uniqueName="[Measures].[__XL_Count tAvances]" caption="__XL_Count tAvances" measure="1" displayFolder="" measureGroup="tAvances" count="0" hidden="1"/>
    <cacheHierarchy uniqueName="[Measures].[__XL_Count tColaboradores]" caption="__XL_Count tColaboradores" measure="1" displayFolder="" measureGroup="tColaboradores" count="0" hidden="1"/>
    <cacheHierarchy uniqueName="[Measures].[__No measures defined]" caption="__No measures defined" measure="1" displayFolder="" count="0" hidden="1"/>
    <cacheHierarchy uniqueName="[Measures].[Suma de HU_ID]" caption="Suma de HU_ID" measure="1" displayFolder="" measureGroup="tH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HU_ID]" caption="Recuento de HU_ID" measure="1" displayFolder="" measureGroup="tHU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AvanceID]" caption="Suma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AvanceID]" caption="Recuento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HorasDedicadas]" caption="Suma de HorasDedicadas" measure="1" displayFolder="" measureGroup="tAvan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HU_ID 2]" caption="Suma de HU_ID 2" measure="1" displayFolder="" measureGroup="tAva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EsCompletada]" caption="Suma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EsCompletada]" caption="Recuent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EsCompletada]" caption="Promedi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PuntosEstimados]" caption="Suma de PuntosEstimados" measure="1" displayFolder="" measureGroup="tHU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tAvances" uniqueName="[tAvances]" caption="tAvances"/>
    <dimension name="tColaboradores" uniqueName="[tColaboradores]" caption="tColaboradores"/>
    <dimension name="tHU" uniqueName="[tHU]" caption="tHU"/>
  </dimensions>
  <measureGroups count="3">
    <measureGroup name="tAvances" caption="tAvances"/>
    <measureGroup name="tColaboradores" caption="tColaboradores"/>
    <measureGroup name="tHU" caption="tHU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7.056684722222" backgroundQuery="1" createdVersion="8" refreshedVersion="8" minRefreshableVersion="3" recordCount="0" supportSubquery="1" supportAdvancedDrill="1" xr:uid="{D28FDE71-4153-41B9-B2F9-986D53D29503}">
  <cacheSource type="external" connectionId="1"/>
  <cacheFields count="5">
    <cacheField name="[tHU].[Epica].[Epica]" caption="Epica" numFmtId="0" hierarchy="16" level="1">
      <sharedItems count="5">
        <s v="Autenticación y Seguridad"/>
        <s v="Comunicados"/>
        <s v="Dashboard General"/>
        <s v="Home Gerencia"/>
        <s v="Mi Asistencia"/>
      </sharedItems>
    </cacheField>
    <cacheField name="[Measures].[Recuento de HU_ID]" caption="Recuento de HU_ID" numFmtId="0" hierarchy="33" level="32767"/>
    <cacheField name="[Measures].[HUs Completadas]" caption="HUs Completadas" numFmtId="0" hierarchy="26" level="32767"/>
    <cacheField name="[tHU].[FechaFinEstimada].[FechaFinEstimada]" caption="FechaFinEstimada" numFmtId="0" hierarchy="23" level="1">
      <sharedItems containsSemiMixedTypes="0" containsNonDate="0" containsString="0"/>
    </cacheField>
    <cacheField name="[tHU].[Prioridad].[Prioridad]" caption="Prioridad" numFmtId="0" hierarchy="19" level="1">
      <sharedItems containsSemiMixedTypes="0" containsNonDate="0" containsString="0"/>
    </cacheField>
  </cacheFields>
  <cacheHierarchies count="42">
    <cacheHierarchy uniqueName="[tAvances].[AvanceID]" caption="AvanceID" attribute="1" defaultMemberUniqueName="[tAvances].[AvanceID].[All]" allUniqueName="[tAvances].[AvanceID].[All]" dimensionUniqueName="[tAvances]" displayFolder="" count="0" memberValueDatatype="20" unbalanced="0"/>
    <cacheHierarchy uniqueName="[tAvances].[HU_ID]" caption="HU_ID" attribute="1" defaultMemberUniqueName="[tAvances].[HU_ID].[All]" allUniqueName="[tAvances].[HU_ID].[All]" dimensionUniqueName="[tAvances]" displayFolder="" count="0" memberValueDatatype="20" unbalanced="0"/>
    <cacheHierarchy uniqueName="[tAvances].[ColaboradorID]" caption="ColaboradorID" attribute="1" defaultMemberUniqueName="[tAvances].[ColaboradorID].[All]" allUniqueName="[tAvances].[ColaboradorID].[All]" dimensionUniqueName="[tAvances]" displayFolder="" count="0" memberValueDatatype="20" unbalanced="0"/>
    <cacheHierarchy uniqueName="[tAvances].[FechaRegistro]" caption="FechaRegistro" attribute="1" time="1" defaultMemberUniqueName="[tAvances].[FechaRegistro].[All]" allUniqueName="[tAvances].[FechaRegistro].[All]" dimensionUniqueName="[tAvances]" displayFolder="" count="0" memberValueDatatype="7" unbalanced="0"/>
    <cacheHierarchy uniqueName="[tAvances].[HorasDedicadas]" caption="HorasDedicadas" attribute="1" defaultMemberUniqueName="[tAvances].[HorasDedicadas].[All]" allUniqueName="[tAvances].[HorasDedicadas].[All]" dimensionUniqueName="[tAvances]" displayFolder="" count="0" memberValueDatatype="20" unbalanced="0"/>
    <cacheHierarchy uniqueName="[tAvances].[EstadoAvance]" caption="EstadoAvance" attribute="1" defaultMemberUniqueName="[tAvances].[EstadoAvance].[All]" allUniqueName="[tAvances].[EstadoAvance].[All]" dimensionUniqueName="[tAvances]" displayFolder="" count="2" memberValueDatatype="130" unbalanced="0"/>
    <cacheHierarchy uniqueName="[tAvances].[Comentario]" caption="Comentario" attribute="1" defaultMemberUniqueName="[tAvances].[Comentario].[All]" allUniqueName="[tAvances].[Comentario].[All]" dimensionUniqueName="[tAvances]" displayFolder="" count="0" memberValueDatatype="130" unbalanced="0"/>
    <cacheHierarchy uniqueName="[tAvances].[EsCompletada]" caption="EsCompletada" attribute="1" defaultMemberUniqueName="[tAvances].[EsCompletada].[All]" allUniqueName="[tAvances].[EsCompletada].[All]" dimensionUniqueName="[tAvances]" displayFolder="" count="0" memberValueDatatype="20" unbalanced="0"/>
    <cacheHierarchy uniqueName="[tAvances].[Áreas]" caption="Áreas" attribute="1" defaultMemberUniqueName="[tAvances].[Áreas].[All]" allUniqueName="[tAvances].[Áreas].[All]" dimensionUniqueName="[tAvances]" displayFolder="" count="0" memberValueDatatype="130" unbalanced="0"/>
    <cacheHierarchy uniqueName="[tAvances].[FechaRegistro (día)]" caption="FechaRegistro (día)" attribute="1" defaultMemberUniqueName="[tAvances].[FechaRegistro (día)].[All]" allUniqueName="[tAvances].[FechaRegistro (día)].[All]" dimensionUniqueName="[tAvances]" displayFolder="" count="0" memberValueDatatype="130" unbalanced="0"/>
    <cacheHierarchy uniqueName="[tColaboradores].[Colaborador ID]" caption="Colaborador ID" attribute="1" defaultMemberUniqueName="[tColaboradores].[Colaborador ID].[All]" allUniqueName="[tColaboradores].[Colaborador ID].[All]" dimensionUniqueName="[tColaboradores]" displayFolder="" count="0" memberValueDatatype="20" unbalanced="0"/>
    <cacheHierarchy uniqueName="[tColaboradores].[Nombres]" caption="Nombres" attribute="1" defaultMemberUniqueName="[tColaboradores].[Nombres].[All]" allUniqueName="[tColaboradores].[Nombres].[All]" dimensionUniqueName="[tColaboradores]" displayFolder="" count="0" memberValueDatatype="130" unbalanced="0"/>
    <cacheHierarchy uniqueName="[tColaboradores].[Rol]" caption="Rol" attribute="1" defaultMemberUniqueName="[tColaboradores].[Rol].[All]" allUniqueName="[tColaboradores].[Rol].[All]" dimensionUniqueName="[tColaboradores]" displayFolder="" count="0" memberValueDatatype="130" unbalanced="0"/>
    <cacheHierarchy uniqueName="[tColaboradores].[Area]" caption="Area" attribute="1" defaultMemberUniqueName="[tColaboradores].[Area].[All]" allUniqueName="[tColaboradores].[Area].[All]" dimensionUniqueName="[tColaboradores]" displayFolder="" count="0" memberValueDatatype="130" unbalanced="0"/>
    <cacheHierarchy uniqueName="[tColaboradores].[FechaIngreso]" caption="FechaIngreso" attribute="1" time="1" defaultMemberUniqueName="[tColaboradores].[FechaIngreso].[All]" allUniqueName="[tColaboradores].[FechaIngreso].[All]" dimensionUniqueName="[tColaboradores]" displayFolder="" count="0" memberValueDatatype="7" unbalanced="0"/>
    <cacheHierarchy uniqueName="[tHU].[HU_ID]" caption="HU_ID" attribute="1" defaultMemberUniqueName="[tHU].[HU_ID].[All]" allUniqueName="[tHU].[HU_ID].[All]" dimensionUniqueName="[tHU]" displayFolder="" count="0" memberValueDatatype="20" unbalanced="0"/>
    <cacheHierarchy uniqueName="[tHU].[Epica]" caption="Epica" attribute="1" defaultMemberUniqueName="[tHU].[Epica].[All]" allUniqueName="[tHU].[Epica].[All]" dimensionUniqueName="[tHU]" displayFolder="" count="2" memberValueDatatype="130" unbalanced="0">
      <fieldsUsage count="2">
        <fieldUsage x="-1"/>
        <fieldUsage x="0"/>
      </fieldsUsage>
    </cacheHierarchy>
    <cacheHierarchy uniqueName="[tHU].[HU_Codigo]" caption="HU_Codigo" attribute="1" defaultMemberUniqueName="[tHU].[HU_Codigo].[All]" allUniqueName="[tHU].[HU_Codigo].[All]" dimensionUniqueName="[tHU]" displayFolder="" count="0" memberValueDatatype="130" unbalanced="0"/>
    <cacheHierarchy uniqueName="[tHU].[NombreHistoria]" caption="NombreHistoria" attribute="1" defaultMemberUniqueName="[tHU].[NombreHistoria].[All]" allUniqueName="[tHU].[NombreHistoria].[All]" dimensionUniqueName="[tHU]" displayFolder="" count="0" memberValueDatatype="130" unbalanced="0"/>
    <cacheHierarchy uniqueName="[tHU].[Prioridad]" caption="Prioridad" attribute="1" defaultMemberUniqueName="[tHU].[Prioridad].[All]" allUniqueName="[tHU].[Prioridad].[All]" dimensionUniqueName="[tHU]" displayFolder="" count="2" memberValueDatatype="130" unbalanced="0">
      <fieldsUsage count="2">
        <fieldUsage x="-1"/>
        <fieldUsage x="4"/>
      </fieldsUsage>
    </cacheHierarchy>
    <cacheHierarchy uniqueName="[tHU].[PuntosEstimados]" caption="PuntosEstimados" attribute="1" defaultMemberUniqueName="[tHU].[PuntosEstimados].[All]" allUniqueName="[tHU].[PuntosEstimados].[All]" dimensionUniqueName="[tHU]" displayFolder="" count="0" memberValueDatatype="20" unbalanced="0"/>
    <cacheHierarchy uniqueName="[tHU].[ResponsableAsignadoID]" caption="ResponsableAsignadoID" attribute="1" defaultMemberUniqueName="[tHU].[ResponsableAsignadoID].[All]" allUniqueName="[tHU].[ResponsableAsignadoID].[All]" dimensionUniqueName="[tHU]" displayFolder="" count="0" memberValueDatatype="20" unbalanced="0"/>
    <cacheHierarchy uniqueName="[tHU].[FechaInicioEstimada]" caption="FechaInicioEstimada" attribute="1" time="1" defaultMemberUniqueName="[tHU].[FechaInicioEstimada].[All]" allUniqueName="[tHU].[FechaInicioEstimada].[All]" dimensionUniqueName="[tHU]" displayFolder="" count="0" memberValueDatatype="7" unbalanced="0"/>
    <cacheHierarchy uniqueName="[tHU].[FechaFinEstimada]" caption="FechaFinEstimada" attribute="1" time="1" defaultMemberUniqueName="[tHU].[FechaFinEstimada].[All]" allUniqueName="[tHU].[FechaFinEstimada].[All]" dimensionUniqueName="[tHU]" displayFolder="" count="2" memberValueDatatype="7" unbalanced="0">
      <fieldsUsage count="2">
        <fieldUsage x="-1"/>
        <fieldUsage x="3"/>
      </fieldsUsage>
    </cacheHierarchy>
    <cacheHierarchy uniqueName="[tHU].[DiasRetraso]" caption="DiasRetraso" attribute="1" defaultMemberUniqueName="[tHU].[DiasRetraso].[All]" allUniqueName="[tHU].[DiasRetraso].[All]" dimensionUniqueName="[tHU]" displayFolder="" count="0" memberValueDatatype="20" unbalanced="0"/>
    <cacheHierarchy uniqueName="[tAvances].[FechaRegistro (índice de días)]" caption="FechaRegistro (índice de días)" attribute="1" defaultMemberUniqueName="[tAvances].[FechaRegistro (índice de días)].[All]" allUniqueName="[tAvances].[FechaRegistro (índice de días)].[All]" dimensionUniqueName="[tAvances]" displayFolder="" count="0" memberValueDatatype="5" unbalanced="0" hidden="1"/>
    <cacheHierarchy uniqueName="[Measures].[HUs Completadas]" caption="HUs Completadas" measure="1" displayFolder="" measureGroup="tAvances" count="0" oneField="1">
      <fieldsUsage count="1">
        <fieldUsage x="2"/>
      </fieldsUsage>
    </cacheHierarchy>
    <cacheHierarchy uniqueName="[Measures].[% Avance]" caption="% Avance" measure="1" displayFolder="" measureGroup="tAvances" count="0"/>
    <cacheHierarchy uniqueName="[Measures].[__XL_Count tHU]" caption="__XL_Count tHU" measure="1" displayFolder="" measureGroup="tHU" count="0" hidden="1"/>
    <cacheHierarchy uniqueName="[Measures].[__XL_Count tAvances]" caption="__XL_Count tAvances" measure="1" displayFolder="" measureGroup="tAvances" count="0" hidden="1"/>
    <cacheHierarchy uniqueName="[Measures].[__XL_Count tColaboradores]" caption="__XL_Count tColaboradores" measure="1" displayFolder="" measureGroup="tColaboradores" count="0" hidden="1"/>
    <cacheHierarchy uniqueName="[Measures].[__No measures defined]" caption="__No measures defined" measure="1" displayFolder="" count="0" hidden="1"/>
    <cacheHierarchy uniqueName="[Measures].[Suma de HU_ID]" caption="Suma de HU_ID" measure="1" displayFolder="" measureGroup="tH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HU_ID]" caption="Recuento de HU_ID" measure="1" displayFolder="" measureGroup="tHU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AvanceID]" caption="Suma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AvanceID]" caption="Recuento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HorasDedicadas]" caption="Suma de HorasDedicadas" measure="1" displayFolder="" measureGroup="tAvan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HU_ID 2]" caption="Suma de HU_ID 2" measure="1" displayFolder="" measureGroup="tAva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EsCompletada]" caption="Suma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EsCompletada]" caption="Recuent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EsCompletada]" caption="Promedi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PuntosEstimados]" caption="Suma de PuntosEstimados" measure="1" displayFolder="" measureGroup="tHU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tAvances" uniqueName="[tAvances]" caption="tAvances"/>
    <dimension name="tColaboradores" uniqueName="[tColaboradores]" caption="tColaboradores"/>
    <dimension name="tHU" uniqueName="[tHU]" caption="tHU"/>
  </dimensions>
  <measureGroups count="3">
    <measureGroup name="tAvances" caption="tAvances"/>
    <measureGroup name="tColaboradores" caption="tColaboradores"/>
    <measureGroup name="tHU" caption="tHU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7.05668530093" backgroundQuery="1" createdVersion="8" refreshedVersion="8" minRefreshableVersion="3" recordCount="0" supportSubquery="1" supportAdvancedDrill="1" xr:uid="{4CA7B29B-46D3-4529-A1D9-F9E9632DB9AC}">
  <cacheSource type="external" connectionId="1"/>
  <cacheFields count="4">
    <cacheField name="[tAvances].[FechaRegistro].[FechaRegistro]" caption="FechaRegistro" numFmtId="0" hierarchy="3" level="1">
      <sharedItems containsSemiMixedTypes="0" containsNonDate="0" containsDate="1" containsString="0" minDate="2025-11-01T00:00:00" maxDate="2025-11-27T00:00:00" count="24">
        <d v="2025-11-01T00:00:00"/>
        <d v="2025-11-03T00:00:00"/>
        <d v="2025-11-04T00:00:00"/>
        <d v="2025-11-05T00:00:00"/>
        <d v="2025-11-06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</sharedItems>
    </cacheField>
    <cacheField name="[Measures].[Suma de HorasDedicadas]" caption="Suma de HorasDedicadas" numFmtId="0" hierarchy="36" level="32767"/>
    <cacheField name="[tAvances].[FechaRegistro (día)].[FechaRegistro (día)]" caption="FechaRegistro (día)" numFmtId="0" hierarchy="9" level="1">
      <sharedItems count="24">
        <s v="1-Nov"/>
        <s v="3-Nov"/>
        <s v="4-Nov"/>
        <s v="5-Nov"/>
        <s v="6-Nov"/>
        <s v="8-Nov"/>
        <s v="9-Nov"/>
        <s v="10-Nov"/>
        <s v="11-Nov"/>
        <s v="12-Nov"/>
        <s v="13-Nov"/>
        <s v="14-Nov"/>
        <s v="15-Nov"/>
        <s v="16-Nov"/>
        <s v="17-Nov"/>
        <s v="18-Nov"/>
        <s v="19-Nov"/>
        <s v="20-Nov"/>
        <s v="21-Nov"/>
        <s v="22-Nov"/>
        <s v="23-Nov"/>
        <s v="24-Nov"/>
        <s v="25-Nov"/>
        <s v="26-Nov"/>
      </sharedItems>
    </cacheField>
    <cacheField name="[tHU].[Prioridad].[Prioridad]" caption="Prioridad" numFmtId="0" hierarchy="19" level="1">
      <sharedItems containsSemiMixedTypes="0" containsNonDate="0" containsString="0"/>
    </cacheField>
  </cacheFields>
  <cacheHierarchies count="42">
    <cacheHierarchy uniqueName="[tAvances].[AvanceID]" caption="AvanceID" attribute="1" defaultMemberUniqueName="[tAvances].[AvanceID].[All]" allUniqueName="[tAvances].[AvanceID].[All]" dimensionUniqueName="[tAvances]" displayFolder="" count="0" memberValueDatatype="20" unbalanced="0"/>
    <cacheHierarchy uniqueName="[tAvances].[HU_ID]" caption="HU_ID" attribute="1" defaultMemberUniqueName="[tAvances].[HU_ID].[All]" allUniqueName="[tAvances].[HU_ID].[All]" dimensionUniqueName="[tAvances]" displayFolder="" count="0" memberValueDatatype="20" unbalanced="0"/>
    <cacheHierarchy uniqueName="[tAvances].[ColaboradorID]" caption="ColaboradorID" attribute="1" defaultMemberUniqueName="[tAvances].[ColaboradorID].[All]" allUniqueName="[tAvances].[ColaboradorID].[All]" dimensionUniqueName="[tAvances]" displayFolder="" count="0" memberValueDatatype="20" unbalanced="0"/>
    <cacheHierarchy uniqueName="[tAvances].[FechaRegistro]" caption="FechaRegistro" attribute="1" time="1" defaultMemberUniqueName="[tAvances].[FechaRegistro].[All]" allUniqueName="[tAvances].[FechaRegistro].[All]" dimensionUniqueName="[tAvances]" displayFolder="" count="2" memberValueDatatype="7" unbalanced="0">
      <fieldsUsage count="2">
        <fieldUsage x="-1"/>
        <fieldUsage x="0"/>
      </fieldsUsage>
    </cacheHierarchy>
    <cacheHierarchy uniqueName="[tAvances].[HorasDedicadas]" caption="HorasDedicadas" attribute="1" defaultMemberUniqueName="[tAvances].[HorasDedicadas].[All]" allUniqueName="[tAvances].[HorasDedicadas].[All]" dimensionUniqueName="[tAvances]" displayFolder="" count="0" memberValueDatatype="20" unbalanced="0"/>
    <cacheHierarchy uniqueName="[tAvances].[EstadoAvance]" caption="EstadoAvance" attribute="1" defaultMemberUniqueName="[tAvances].[EstadoAvance].[All]" allUniqueName="[tAvances].[EstadoAvance].[All]" dimensionUniqueName="[tAvances]" displayFolder="" count="2" memberValueDatatype="130" unbalanced="0"/>
    <cacheHierarchy uniqueName="[tAvances].[Comentario]" caption="Comentario" attribute="1" defaultMemberUniqueName="[tAvances].[Comentario].[All]" allUniqueName="[tAvances].[Comentario].[All]" dimensionUniqueName="[tAvances]" displayFolder="" count="0" memberValueDatatype="130" unbalanced="0"/>
    <cacheHierarchy uniqueName="[tAvances].[EsCompletada]" caption="EsCompletada" attribute="1" defaultMemberUniqueName="[tAvances].[EsCompletada].[All]" allUniqueName="[tAvances].[EsCompletada].[All]" dimensionUniqueName="[tAvances]" displayFolder="" count="0" memberValueDatatype="20" unbalanced="0"/>
    <cacheHierarchy uniqueName="[tAvances].[Áreas]" caption="Áreas" attribute="1" defaultMemberUniqueName="[tAvances].[Áreas].[All]" allUniqueName="[tAvances].[Áreas].[All]" dimensionUniqueName="[tAvances]" displayFolder="" count="0" memberValueDatatype="130" unbalanced="0"/>
    <cacheHierarchy uniqueName="[tAvances].[FechaRegistro (día)]" caption="FechaRegistro (día)" attribute="1" defaultMemberUniqueName="[tAvances].[FechaRegistro (día)].[All]" allUniqueName="[tAvances].[FechaRegistro (día)].[All]" dimensionUniqueName="[tAvances]" displayFolder="" count="2" memberValueDatatype="130" unbalanced="0">
      <fieldsUsage count="2">
        <fieldUsage x="-1"/>
        <fieldUsage x="2"/>
      </fieldsUsage>
    </cacheHierarchy>
    <cacheHierarchy uniqueName="[tColaboradores].[Colaborador ID]" caption="Colaborador ID" attribute="1" defaultMemberUniqueName="[tColaboradores].[Colaborador ID].[All]" allUniqueName="[tColaboradores].[Colaborador ID].[All]" dimensionUniqueName="[tColaboradores]" displayFolder="" count="0" memberValueDatatype="20" unbalanced="0"/>
    <cacheHierarchy uniqueName="[tColaboradores].[Nombres]" caption="Nombres" attribute="1" defaultMemberUniqueName="[tColaboradores].[Nombres].[All]" allUniqueName="[tColaboradores].[Nombres].[All]" dimensionUniqueName="[tColaboradores]" displayFolder="" count="0" memberValueDatatype="130" unbalanced="0"/>
    <cacheHierarchy uniqueName="[tColaboradores].[Rol]" caption="Rol" attribute="1" defaultMemberUniqueName="[tColaboradores].[Rol].[All]" allUniqueName="[tColaboradores].[Rol].[All]" dimensionUniqueName="[tColaboradores]" displayFolder="" count="0" memberValueDatatype="130" unbalanced="0"/>
    <cacheHierarchy uniqueName="[tColaboradores].[Area]" caption="Area" attribute="1" defaultMemberUniqueName="[tColaboradores].[Area].[All]" allUniqueName="[tColaboradores].[Area].[All]" dimensionUniqueName="[tColaboradores]" displayFolder="" count="0" memberValueDatatype="130" unbalanced="0"/>
    <cacheHierarchy uniqueName="[tColaboradores].[FechaIngreso]" caption="FechaIngreso" attribute="1" time="1" defaultMemberUniqueName="[tColaboradores].[FechaIngreso].[All]" allUniqueName="[tColaboradores].[FechaIngreso].[All]" dimensionUniqueName="[tColaboradores]" displayFolder="" count="0" memberValueDatatype="7" unbalanced="0"/>
    <cacheHierarchy uniqueName="[tHU].[HU_ID]" caption="HU_ID" attribute="1" defaultMemberUniqueName="[tHU].[HU_ID].[All]" allUniqueName="[tHU].[HU_ID].[All]" dimensionUniqueName="[tHU]" displayFolder="" count="0" memberValueDatatype="20" unbalanced="0"/>
    <cacheHierarchy uniqueName="[tHU].[Epica]" caption="Epica" attribute="1" defaultMemberUniqueName="[tHU].[Epica].[All]" allUniqueName="[tHU].[Epica].[All]" dimensionUniqueName="[tHU]" displayFolder="" count="0" memberValueDatatype="130" unbalanced="0"/>
    <cacheHierarchy uniqueName="[tHU].[HU_Codigo]" caption="HU_Codigo" attribute="1" defaultMemberUniqueName="[tHU].[HU_Codigo].[All]" allUniqueName="[tHU].[HU_Codigo].[All]" dimensionUniqueName="[tHU]" displayFolder="" count="0" memberValueDatatype="130" unbalanced="0"/>
    <cacheHierarchy uniqueName="[tHU].[NombreHistoria]" caption="NombreHistoria" attribute="1" defaultMemberUniqueName="[tHU].[NombreHistoria].[All]" allUniqueName="[tHU].[NombreHistoria].[All]" dimensionUniqueName="[tHU]" displayFolder="" count="0" memberValueDatatype="130" unbalanced="0"/>
    <cacheHierarchy uniqueName="[tHU].[Prioridad]" caption="Prioridad" attribute="1" defaultMemberUniqueName="[tHU].[Prioridad].[All]" allUniqueName="[tHU].[Prioridad].[All]" dimensionUniqueName="[tHU]" displayFolder="" count="2" memberValueDatatype="130" unbalanced="0">
      <fieldsUsage count="2">
        <fieldUsage x="-1"/>
        <fieldUsage x="3"/>
      </fieldsUsage>
    </cacheHierarchy>
    <cacheHierarchy uniqueName="[tHU].[PuntosEstimados]" caption="PuntosEstimados" attribute="1" defaultMemberUniqueName="[tHU].[PuntosEstimados].[All]" allUniqueName="[tHU].[PuntosEstimados].[All]" dimensionUniqueName="[tHU]" displayFolder="" count="0" memberValueDatatype="20" unbalanced="0"/>
    <cacheHierarchy uniqueName="[tHU].[ResponsableAsignadoID]" caption="ResponsableAsignadoID" attribute="1" defaultMemberUniqueName="[tHU].[ResponsableAsignadoID].[All]" allUniqueName="[tHU].[ResponsableAsignadoID].[All]" dimensionUniqueName="[tHU]" displayFolder="" count="0" memberValueDatatype="20" unbalanced="0"/>
    <cacheHierarchy uniqueName="[tHU].[FechaInicioEstimada]" caption="FechaInicioEstimada" attribute="1" time="1" defaultMemberUniqueName="[tHU].[FechaInicioEstimada].[All]" allUniqueName="[tHU].[FechaInicioEstimada].[All]" dimensionUniqueName="[tHU]" displayFolder="" count="0" memberValueDatatype="7" unbalanced="0"/>
    <cacheHierarchy uniqueName="[tHU].[FechaFinEstimada]" caption="FechaFinEstimada" attribute="1" time="1" defaultMemberUniqueName="[tHU].[FechaFinEstimada].[All]" allUniqueName="[tHU].[FechaFinEstimada].[All]" dimensionUniqueName="[tHU]" displayFolder="" count="0" memberValueDatatype="7" unbalanced="0"/>
    <cacheHierarchy uniqueName="[tHU].[DiasRetraso]" caption="DiasRetraso" attribute="1" defaultMemberUniqueName="[tHU].[DiasRetraso].[All]" allUniqueName="[tHU].[DiasRetraso].[All]" dimensionUniqueName="[tHU]" displayFolder="" count="0" memberValueDatatype="20" unbalanced="0"/>
    <cacheHierarchy uniqueName="[tAvances].[FechaRegistro (índice de días)]" caption="FechaRegistro (índice de días)" attribute="1" defaultMemberUniqueName="[tAvances].[FechaRegistro (índice de días)].[All]" allUniqueName="[tAvances].[FechaRegistro (índice de días)].[All]" dimensionUniqueName="[tAvances]" displayFolder="" count="0" memberValueDatatype="5" unbalanced="0" hidden="1"/>
    <cacheHierarchy uniqueName="[Measures].[HUs Completadas]" caption="HUs Completadas" measure="1" displayFolder="" measureGroup="tAvances" count="0"/>
    <cacheHierarchy uniqueName="[Measures].[% Avance]" caption="% Avance" measure="1" displayFolder="" measureGroup="tAvances" count="0"/>
    <cacheHierarchy uniqueName="[Measures].[__XL_Count tHU]" caption="__XL_Count tHU" measure="1" displayFolder="" measureGroup="tHU" count="0" hidden="1"/>
    <cacheHierarchy uniqueName="[Measures].[__XL_Count tAvances]" caption="__XL_Count tAvances" measure="1" displayFolder="" measureGroup="tAvances" count="0" hidden="1"/>
    <cacheHierarchy uniqueName="[Measures].[__XL_Count tColaboradores]" caption="__XL_Count tColaboradores" measure="1" displayFolder="" measureGroup="tColaboradores" count="0" hidden="1"/>
    <cacheHierarchy uniqueName="[Measures].[__No measures defined]" caption="__No measures defined" measure="1" displayFolder="" count="0" hidden="1"/>
    <cacheHierarchy uniqueName="[Measures].[Suma de HU_ID]" caption="Suma de HU_ID" measure="1" displayFolder="" measureGroup="tH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HU_ID]" caption="Recuento de HU_ID" measure="1" displayFolder="" measureGroup="tH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AvanceID]" caption="Suma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AvanceID]" caption="Recuento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HorasDedicadas]" caption="Suma de HorasDedicadas" measure="1" displayFolder="" measureGroup="tAvanc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HU_ID 2]" caption="Suma de HU_ID 2" measure="1" displayFolder="" measureGroup="tAva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EsCompletada]" caption="Suma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EsCompletada]" caption="Recuent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EsCompletada]" caption="Promedi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PuntosEstimados]" caption="Suma de PuntosEstimados" measure="1" displayFolder="" measureGroup="tHU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tAvances" uniqueName="[tAvances]" caption="tAvances"/>
    <dimension name="tColaboradores" uniqueName="[tColaboradores]" caption="tColaboradores"/>
    <dimension name="tHU" uniqueName="[tHU]" caption="tHU"/>
  </dimensions>
  <measureGroups count="3">
    <measureGroup name="tAvances" caption="tAvances"/>
    <measureGroup name="tColaboradores" caption="tColaboradores"/>
    <measureGroup name="tHU" caption="tHU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7.056685763891" backgroundQuery="1" createdVersion="8" refreshedVersion="8" minRefreshableVersion="3" recordCount="0" supportSubquery="1" supportAdvancedDrill="1" xr:uid="{D67A1912-1956-4C9B-9D06-AE1B7E56A281}">
  <cacheSource type="external" connectionId="1"/>
  <cacheFields count="4">
    <cacheField name="[Measures].[Recuento de HU_ID]" caption="Recuento de HU_ID" numFmtId="0" hierarchy="33" level="32767"/>
    <cacheField name="[tHU].[NombreHistoria].[NombreHistoria]" caption="NombreHistoria" numFmtId="0" hierarchy="18" level="1">
      <sharedItems count="26">
        <s v="Exportar reporte de avances"/>
        <s v="Iniciar Sesión"/>
        <s v="Interactuar con Cards de área"/>
        <s v="Interactuar con filtro de &quot;Mis Divisiones&quot;"/>
        <s v="Reestablecer Contraseña"/>
        <s v="Visualizar barra lateral de navegación"/>
        <s v="Visualizar card de &quot;Marcar Asistencia&quot;"/>
        <s v="Visualizar card de Mandar Comunicado"/>
        <s v="Visualizar cards de divisiones"/>
        <s v="Visualizar encabezado principal con datos del usuario"/>
        <s v="Visualizar gráfico de avance por épica"/>
        <s v="Visualizar interfaz de inicio de sesión"/>
        <s v="Visualizar interfaz de Reestablecer Contraseña"/>
        <s v="Visualizar interfaz principal de Comunicados"/>
        <s v="Visualizar interfaz principal de Gerencia"/>
        <s v="Visualizar interfaz principal General"/>
        <s v="Visualizar KPIs principales"/>
        <s v="Visualizar lista de Avisos Urgentes"/>
        <s v="Visualizar lista de Comunicados"/>
        <s v="Visualizar modal de alertas"/>
        <s v="Visualizar modal de Cruce de Horario"/>
        <s v="Visualizar modal de Justifica tu Falta"/>
        <s v="Visualizar sección de Estado"/>
        <s v="Visualizar sección de Justificaciones"/>
        <s v="Visualizar sección días convenio"/>
        <s v="Visualizar tabla de Registro de Asistencia"/>
      </sharedItems>
    </cacheField>
    <cacheField name="[Measures].[Suma de PuntosEstimados]" caption="Suma de PuntosEstimados" numFmtId="0" hierarchy="41" level="32767"/>
    <cacheField name="[tHU].[Prioridad].[Prioridad]" caption="Prioridad" numFmtId="0" hierarchy="19" level="1">
      <sharedItems containsSemiMixedTypes="0" containsNonDate="0" containsString="0"/>
    </cacheField>
  </cacheFields>
  <cacheHierarchies count="42">
    <cacheHierarchy uniqueName="[tAvances].[AvanceID]" caption="AvanceID" attribute="1" defaultMemberUniqueName="[tAvances].[AvanceID].[All]" allUniqueName="[tAvances].[AvanceID].[All]" dimensionUniqueName="[tAvances]" displayFolder="" count="0" memberValueDatatype="20" unbalanced="0"/>
    <cacheHierarchy uniqueName="[tAvances].[HU_ID]" caption="HU_ID" attribute="1" defaultMemberUniqueName="[tAvances].[HU_ID].[All]" allUniqueName="[tAvances].[HU_ID].[All]" dimensionUniqueName="[tAvances]" displayFolder="" count="0" memberValueDatatype="20" unbalanced="0"/>
    <cacheHierarchy uniqueName="[tAvances].[ColaboradorID]" caption="ColaboradorID" attribute="1" defaultMemberUniqueName="[tAvances].[ColaboradorID].[All]" allUniqueName="[tAvances].[ColaboradorID].[All]" dimensionUniqueName="[tAvances]" displayFolder="" count="0" memberValueDatatype="20" unbalanced="0"/>
    <cacheHierarchy uniqueName="[tAvances].[FechaRegistro]" caption="FechaRegistro" attribute="1" time="1" defaultMemberUniqueName="[tAvances].[FechaRegistro].[All]" allUniqueName="[tAvances].[FechaRegistro].[All]" dimensionUniqueName="[tAvances]" displayFolder="" count="0" memberValueDatatype="7" unbalanced="0"/>
    <cacheHierarchy uniqueName="[tAvances].[HorasDedicadas]" caption="HorasDedicadas" attribute="1" defaultMemberUniqueName="[tAvances].[HorasDedicadas].[All]" allUniqueName="[tAvances].[HorasDedicadas].[All]" dimensionUniqueName="[tAvances]" displayFolder="" count="0" memberValueDatatype="20" unbalanced="0"/>
    <cacheHierarchy uniqueName="[tAvances].[EstadoAvance]" caption="EstadoAvance" attribute="1" defaultMemberUniqueName="[tAvances].[EstadoAvance].[All]" allUniqueName="[tAvances].[EstadoAvance].[All]" dimensionUniqueName="[tAvances]" displayFolder="" count="0" memberValueDatatype="130" unbalanced="0"/>
    <cacheHierarchy uniqueName="[tAvances].[Comentario]" caption="Comentario" attribute="1" defaultMemberUniqueName="[tAvances].[Comentario].[All]" allUniqueName="[tAvances].[Comentario].[All]" dimensionUniqueName="[tAvances]" displayFolder="" count="0" memberValueDatatype="130" unbalanced="0"/>
    <cacheHierarchy uniqueName="[tAvances].[EsCompletada]" caption="EsCompletada" attribute="1" defaultMemberUniqueName="[tAvances].[EsCompletada].[All]" allUniqueName="[tAvances].[EsCompletada].[All]" dimensionUniqueName="[tAvances]" displayFolder="" count="0" memberValueDatatype="20" unbalanced="0"/>
    <cacheHierarchy uniqueName="[tAvances].[Áreas]" caption="Áreas" attribute="1" defaultMemberUniqueName="[tAvances].[Áreas].[All]" allUniqueName="[tAvances].[Áreas].[All]" dimensionUniqueName="[tAvances]" displayFolder="" count="0" memberValueDatatype="130" unbalanced="0"/>
    <cacheHierarchy uniqueName="[tAvances].[FechaRegistro (día)]" caption="FechaRegistro (día)" attribute="1" defaultMemberUniqueName="[tAvances].[FechaRegistro (día)].[All]" allUniqueName="[tAvances].[FechaRegistro (día)].[All]" dimensionUniqueName="[tAvances]" displayFolder="" count="0" memberValueDatatype="130" unbalanced="0"/>
    <cacheHierarchy uniqueName="[tColaboradores].[Colaborador ID]" caption="Colaborador ID" attribute="1" defaultMemberUniqueName="[tColaboradores].[Colaborador ID].[All]" allUniqueName="[tColaboradores].[Colaborador ID].[All]" dimensionUniqueName="[tColaboradores]" displayFolder="" count="0" memberValueDatatype="20" unbalanced="0"/>
    <cacheHierarchy uniqueName="[tColaboradores].[Nombres]" caption="Nombres" attribute="1" defaultMemberUniqueName="[tColaboradores].[Nombres].[All]" allUniqueName="[tColaboradores].[Nombres].[All]" dimensionUniqueName="[tColaboradores]" displayFolder="" count="0" memberValueDatatype="130" unbalanced="0"/>
    <cacheHierarchy uniqueName="[tColaboradores].[Rol]" caption="Rol" attribute="1" defaultMemberUniqueName="[tColaboradores].[Rol].[All]" allUniqueName="[tColaboradores].[Rol].[All]" dimensionUniqueName="[tColaboradores]" displayFolder="" count="0" memberValueDatatype="130" unbalanced="0"/>
    <cacheHierarchy uniqueName="[tColaboradores].[Area]" caption="Area" attribute="1" defaultMemberUniqueName="[tColaboradores].[Area].[All]" allUniqueName="[tColaboradores].[Area].[All]" dimensionUniqueName="[tColaboradores]" displayFolder="" count="0" memberValueDatatype="130" unbalanced="0"/>
    <cacheHierarchy uniqueName="[tColaboradores].[FechaIngreso]" caption="FechaIngreso" attribute="1" time="1" defaultMemberUniqueName="[tColaboradores].[FechaIngreso].[All]" allUniqueName="[tColaboradores].[FechaIngreso].[All]" dimensionUniqueName="[tColaboradores]" displayFolder="" count="0" memberValueDatatype="7" unbalanced="0"/>
    <cacheHierarchy uniqueName="[tHU].[HU_ID]" caption="HU_ID" attribute="1" defaultMemberUniqueName="[tHU].[HU_ID].[All]" allUniqueName="[tHU].[HU_ID].[All]" dimensionUniqueName="[tHU]" displayFolder="" count="0" memberValueDatatype="20" unbalanced="0"/>
    <cacheHierarchy uniqueName="[tHU].[Epica]" caption="Epica" attribute="1" defaultMemberUniqueName="[tHU].[Epica].[All]" allUniqueName="[tHU].[Epica].[All]" dimensionUniqueName="[tHU]" displayFolder="" count="0" memberValueDatatype="130" unbalanced="0"/>
    <cacheHierarchy uniqueName="[tHU].[HU_Codigo]" caption="HU_Codigo" attribute="1" defaultMemberUniqueName="[tHU].[HU_Codigo].[All]" allUniqueName="[tHU].[HU_Codigo].[All]" dimensionUniqueName="[tHU]" displayFolder="" count="0" memberValueDatatype="130" unbalanced="0"/>
    <cacheHierarchy uniqueName="[tHU].[NombreHistoria]" caption="NombreHistoria" attribute="1" defaultMemberUniqueName="[tHU].[NombreHistoria].[All]" allUniqueName="[tHU].[NombreHistoria].[All]" dimensionUniqueName="[tHU]" displayFolder="" count="2" memberValueDatatype="130" unbalanced="0">
      <fieldsUsage count="2">
        <fieldUsage x="-1"/>
        <fieldUsage x="1"/>
      </fieldsUsage>
    </cacheHierarchy>
    <cacheHierarchy uniqueName="[tHU].[Prioridad]" caption="Prioridad" attribute="1" defaultMemberUniqueName="[tHU].[Prioridad].[All]" allUniqueName="[tHU].[Prioridad].[All]" dimensionUniqueName="[tHU]" displayFolder="" count="2" memberValueDatatype="130" unbalanced="0">
      <fieldsUsage count="2">
        <fieldUsage x="-1"/>
        <fieldUsage x="3"/>
      </fieldsUsage>
    </cacheHierarchy>
    <cacheHierarchy uniqueName="[tHU].[PuntosEstimados]" caption="PuntosEstimados" attribute="1" defaultMemberUniqueName="[tHU].[PuntosEstimados].[All]" allUniqueName="[tHU].[PuntosEstimados].[All]" dimensionUniqueName="[tHU]" displayFolder="" count="0" memberValueDatatype="20" unbalanced="0"/>
    <cacheHierarchy uniqueName="[tHU].[ResponsableAsignadoID]" caption="ResponsableAsignadoID" attribute="1" defaultMemberUniqueName="[tHU].[ResponsableAsignadoID].[All]" allUniqueName="[tHU].[ResponsableAsignadoID].[All]" dimensionUniqueName="[tHU]" displayFolder="" count="0" memberValueDatatype="20" unbalanced="0"/>
    <cacheHierarchy uniqueName="[tHU].[FechaInicioEstimada]" caption="FechaInicioEstimada" attribute="1" time="1" defaultMemberUniqueName="[tHU].[FechaInicioEstimada].[All]" allUniqueName="[tHU].[FechaInicioEstimada].[All]" dimensionUniqueName="[tHU]" displayFolder="" count="0" memberValueDatatype="7" unbalanced="0"/>
    <cacheHierarchy uniqueName="[tHU].[FechaFinEstimada]" caption="FechaFinEstimada" attribute="1" time="1" defaultMemberUniqueName="[tHU].[FechaFinEstimada].[All]" allUniqueName="[tHU].[FechaFinEstimada].[All]" dimensionUniqueName="[tHU]" displayFolder="" count="0" memberValueDatatype="7" unbalanced="0"/>
    <cacheHierarchy uniqueName="[tHU].[DiasRetraso]" caption="DiasRetraso" attribute="1" defaultMemberUniqueName="[tHU].[DiasRetraso].[All]" allUniqueName="[tHU].[DiasRetraso].[All]" dimensionUniqueName="[tHU]" displayFolder="" count="0" memberValueDatatype="20" unbalanced="0"/>
    <cacheHierarchy uniqueName="[tAvances].[FechaRegistro (índice de días)]" caption="FechaRegistro (índice de días)" attribute="1" defaultMemberUniqueName="[tAvances].[FechaRegistro (índice de días)].[All]" allUniqueName="[tAvances].[FechaRegistro (índice de días)].[All]" dimensionUniqueName="[tAvances]" displayFolder="" count="0" memberValueDatatype="5" unbalanced="0" hidden="1"/>
    <cacheHierarchy uniqueName="[Measures].[HUs Completadas]" caption="HUs Completadas" measure="1" displayFolder="" measureGroup="tAvances" count="0"/>
    <cacheHierarchy uniqueName="[Measures].[% Avance]" caption="% Avance" measure="1" displayFolder="" measureGroup="tAvances" count="0"/>
    <cacheHierarchy uniqueName="[Measures].[__XL_Count tHU]" caption="__XL_Count tHU" measure="1" displayFolder="" measureGroup="tHU" count="0" hidden="1"/>
    <cacheHierarchy uniqueName="[Measures].[__XL_Count tAvances]" caption="__XL_Count tAvances" measure="1" displayFolder="" measureGroup="tAvances" count="0" hidden="1"/>
    <cacheHierarchy uniqueName="[Measures].[__XL_Count tColaboradores]" caption="__XL_Count tColaboradores" measure="1" displayFolder="" measureGroup="tColaboradores" count="0" hidden="1"/>
    <cacheHierarchy uniqueName="[Measures].[__No measures defined]" caption="__No measures defined" measure="1" displayFolder="" count="0" hidden="1"/>
    <cacheHierarchy uniqueName="[Measures].[Suma de HU_ID]" caption="Suma de HU_ID" measure="1" displayFolder="" measureGroup="tH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HU_ID]" caption="Recuento de HU_ID" measure="1" displayFolder="" measureGroup="tHU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AvanceID]" caption="Suma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AvanceID]" caption="Recuento de AvanceID" measure="1" displayFolder="" measureGroup="tAvanc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HorasDedicadas]" caption="Suma de HorasDedicadas" measure="1" displayFolder="" measureGroup="tAvanc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HU_ID 2]" caption="Suma de HU_ID 2" measure="1" displayFolder="" measureGroup="tAvanc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EsCompletada]" caption="Suma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EsCompletada]" caption="Recuent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EsCompletada]" caption="Promedio de EsCompletada" measure="1" displayFolder="" measureGroup="tAvanc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PuntosEstimados]" caption="Suma de PuntosEstimados" measure="1" displayFolder="" measureGroup="tHU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tAvances" uniqueName="[tAvances]" caption="tAvances"/>
    <dimension name="tColaboradores" uniqueName="[tColaboradores]" caption="tColaboradores"/>
    <dimension name="tHU" uniqueName="[tHU]" caption="tHU"/>
  </dimensions>
  <measureGroups count="3">
    <measureGroup name="tAvances" caption="tAvances"/>
    <measureGroup name="tColaboradores" caption="tColaboradores"/>
    <measureGroup name="tHU" caption="tHU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4.115394097222" backgroundQuery="1" createdVersion="3" refreshedVersion="8" minRefreshableVersion="3" recordCount="0" supportSubquery="1" supportAdvancedDrill="1" xr:uid="{4355F83C-8E0B-4C74-976C-0A0A7EFEFC6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1">
    <cacheHierarchy uniqueName="[tAvances].[AvanceID]" caption="AvanceID" attribute="1" defaultMemberUniqueName="[tAvances].[AvanceID].[All]" allUniqueName="[tAvances].[AvanceID].[All]" dimensionUniqueName="[tAvances]" displayFolder="" count="0" memberValueDatatype="20" unbalanced="0"/>
    <cacheHierarchy uniqueName="[tAvances].[HU_ID]" caption="HU_ID" attribute="1" defaultMemberUniqueName="[tAvances].[HU_ID].[All]" allUniqueName="[tAvances].[HU_ID].[All]" dimensionUniqueName="[tAvances]" displayFolder="" count="0" memberValueDatatype="20" unbalanced="0"/>
    <cacheHierarchy uniqueName="[tAvances].[ColaboradorID]" caption="ColaboradorID" attribute="1" defaultMemberUniqueName="[tAvances].[ColaboradorID].[All]" allUniqueName="[tAvances].[ColaboradorID].[All]" dimensionUniqueName="[tAvances]" displayFolder="" count="0" memberValueDatatype="20" unbalanced="0"/>
    <cacheHierarchy uniqueName="[tAvances].[FechaRegistro]" caption="FechaRegistro" attribute="1" time="1" defaultMemberUniqueName="[tAvances].[FechaRegistro].[All]" allUniqueName="[tAvances].[FechaRegistro].[All]" dimensionUniqueName="[tAvances]" displayFolder="" count="0" memberValueDatatype="7" unbalanced="0"/>
    <cacheHierarchy uniqueName="[tAvances].[HorasDedicadas]" caption="HorasDedicadas" attribute="1" defaultMemberUniqueName="[tAvances].[HorasDedicadas].[All]" allUniqueName="[tAvances].[HorasDedicadas].[All]" dimensionUniqueName="[tAvances]" displayFolder="" count="0" memberValueDatatype="20" unbalanced="0"/>
    <cacheHierarchy uniqueName="[tAvances].[EstadoAvance]" caption="EstadoAvance" attribute="1" defaultMemberUniqueName="[tAvances].[EstadoAvance].[All]" allUniqueName="[tAvances].[EstadoAvance].[All]" dimensionUniqueName="[tAvances]" displayFolder="" count="2" memberValueDatatype="130" unbalanced="0"/>
    <cacheHierarchy uniqueName="[tAvances].[Comentario]" caption="Comentario" attribute="1" defaultMemberUniqueName="[tAvances].[Comentario].[All]" allUniqueName="[tAvances].[Comentario].[All]" dimensionUniqueName="[tAvances]" displayFolder="" count="0" memberValueDatatype="130" unbalanced="0"/>
    <cacheHierarchy uniqueName="[tAvances].[EsCompletada]" caption="EsCompletada" attribute="1" defaultMemberUniqueName="[tAvances].[EsCompletada].[All]" allUniqueName="[tAvances].[EsCompletada].[All]" dimensionUniqueName="[tAvances]" displayFolder="" count="0" memberValueDatatype="20" unbalanced="0"/>
    <cacheHierarchy uniqueName="[tAvances].[Áreas]" caption="Áreas" attribute="1" defaultMemberUniqueName="[tAvances].[Áreas].[All]" allUniqueName="[tAvances].[Áreas].[All]" dimensionUniqueName="[tAvances]" displayFolder="" count="0" memberValueDatatype="130" unbalanced="0"/>
    <cacheHierarchy uniqueName="[tAvances].[FechaRegistro (día)]" caption="FechaRegistro (día)" attribute="1" defaultMemberUniqueName="[tAvances].[FechaRegistro (día)].[All]" allUniqueName="[tAvances].[FechaRegistro (día)].[All]" dimensionUniqueName="[tAvances]" displayFolder="" count="2" memberValueDatatype="130" unbalanced="0"/>
    <cacheHierarchy uniqueName="[tColaboradores].[Colaborador ID]" caption="Colaborador ID" attribute="1" defaultMemberUniqueName="[tColaboradores].[Colaborador ID].[All]" allUniqueName="[tColaboradores].[Colaborador ID].[All]" dimensionUniqueName="[tColaboradores]" displayFolder="" count="0" memberValueDatatype="20" unbalanced="0"/>
    <cacheHierarchy uniqueName="[tColaboradores].[Nombres]" caption="Nombres" attribute="1" defaultMemberUniqueName="[tColaboradores].[Nombres].[All]" allUniqueName="[tColaboradores].[Nombres].[All]" dimensionUniqueName="[tColaboradores]" displayFolder="" count="0" memberValueDatatype="130" unbalanced="0"/>
    <cacheHierarchy uniqueName="[tColaboradores].[Rol]" caption="Rol" attribute="1" defaultMemberUniqueName="[tColaboradores].[Rol].[All]" allUniqueName="[tColaboradores].[Rol].[All]" dimensionUniqueName="[tColaboradores]" displayFolder="" count="0" memberValueDatatype="130" unbalanced="0"/>
    <cacheHierarchy uniqueName="[tColaboradores].[Area]" caption="Area" attribute="1" defaultMemberUniqueName="[tColaboradores].[Area].[All]" allUniqueName="[tColaboradores].[Area].[All]" dimensionUniqueName="[tColaboradores]" displayFolder="" count="0" memberValueDatatype="130" unbalanced="0"/>
    <cacheHierarchy uniqueName="[tColaboradores].[FechaIngreso]" caption="FechaIngreso" attribute="1" time="1" defaultMemberUniqueName="[tColaboradores].[FechaIngreso].[All]" allUniqueName="[tColaboradores].[FechaIngreso].[All]" dimensionUniqueName="[tColaboradores]" displayFolder="" count="0" memberValueDatatype="7" unbalanced="0"/>
    <cacheHierarchy uniqueName="[tHU].[HU_ID]" caption="HU_ID" attribute="1" defaultMemberUniqueName="[tHU].[HU_ID].[All]" allUniqueName="[tHU].[HU_ID].[All]" dimensionUniqueName="[tHU]" displayFolder="" count="0" memberValueDatatype="20" unbalanced="0"/>
    <cacheHierarchy uniqueName="[tHU].[Epica]" caption="Epica" attribute="1" defaultMemberUniqueName="[tHU].[Epica].[All]" allUniqueName="[tHU].[Epica].[All]" dimensionUniqueName="[tHU]" displayFolder="" count="2" memberValueDatatype="130" unbalanced="0"/>
    <cacheHierarchy uniqueName="[tHU].[HU_Codigo]" caption="HU_Codigo" attribute="1" defaultMemberUniqueName="[tHU].[HU_Codigo].[All]" allUniqueName="[tHU].[HU_Codigo].[All]" dimensionUniqueName="[tHU]" displayFolder="" count="0" memberValueDatatype="130" unbalanced="0"/>
    <cacheHierarchy uniqueName="[tHU].[NombreHistoria]" caption="NombreHistoria" attribute="1" defaultMemberUniqueName="[tHU].[NombreHistoria].[All]" allUniqueName="[tHU].[NombreHistoria].[All]" dimensionUniqueName="[tHU]" displayFolder="" count="0" memberValueDatatype="130" unbalanced="0"/>
    <cacheHierarchy uniqueName="[tHU].[Prioridad]" caption="Prioridad" attribute="1" defaultMemberUniqueName="[tHU].[Prioridad].[All]" allUniqueName="[tHU].[Prioridad].[All]" dimensionUniqueName="[tHU]" displayFolder="" count="2" memberValueDatatype="130" unbalanced="0"/>
    <cacheHierarchy uniqueName="[tHU].[PuntosEstimados]" caption="PuntosEstimados" attribute="1" defaultMemberUniqueName="[tHU].[PuntosEstimados].[All]" allUniqueName="[tHU].[PuntosEstimados].[All]" dimensionUniqueName="[tHU]" displayFolder="" count="0" memberValueDatatype="20" unbalanced="0"/>
    <cacheHierarchy uniqueName="[tHU].[ResponsableAsignadoID]" caption="ResponsableAsignadoID" attribute="1" defaultMemberUniqueName="[tHU].[ResponsableAsignadoID].[All]" allUniqueName="[tHU].[ResponsableAsignadoID].[All]" dimensionUniqueName="[tHU]" displayFolder="" count="0" memberValueDatatype="20" unbalanced="0"/>
    <cacheHierarchy uniqueName="[tHU].[FechaInicioEstimada]" caption="FechaInicioEstimada" attribute="1" time="1" defaultMemberUniqueName="[tHU].[FechaInicioEstimada].[All]" allUniqueName="[tHU].[FechaInicioEstimada].[All]" dimensionUniqueName="[tHU]" displayFolder="" count="0" memberValueDatatype="7" unbalanced="0"/>
    <cacheHierarchy uniqueName="[tHU].[FechaFinEstimada]" caption="FechaFinEstimada" attribute="1" time="1" defaultMemberUniqueName="[tHU].[FechaFinEstimada].[All]" allUniqueName="[tHU].[FechaFinEstimada].[All]" dimensionUniqueName="[tHU]" displayFolder="" count="2" memberValueDatatype="7" unbalanced="0"/>
    <cacheHierarchy uniqueName="[tHU].[DiasRetraso]" caption="DiasRetraso" attribute="1" defaultMemberUniqueName="[tHU].[DiasRetraso].[All]" allUniqueName="[tHU].[DiasRetraso].[All]" dimensionUniqueName="[tHU]" displayFolder="" count="2" memberValueDatatype="20" unbalanced="0"/>
    <cacheHierarchy uniqueName="[tAvances].[FechaRegistro (índice de días)]" caption="FechaRegistro (índice de días)" attribute="1" defaultMemberUniqueName="[tAvances].[FechaRegistro (índice de días)].[All]" allUniqueName="[tAvances].[FechaRegistro (índice de días)].[All]" dimensionUniqueName="[tAvances]" displayFolder="" count="0" memberValueDatatype="5" unbalanced="0" hidden="1"/>
    <cacheHierarchy uniqueName="[Measures].[Suma de HU_ID]" caption="Suma de HU_ID" measure="1" displayFolder="" measureGroup="tHU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HU_ID]" caption="Recuento de HU_ID" measure="1" displayFolder="" measureGroup="tHU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AvanceID]" caption="Suma de AvanceID" measure="1" displayFolder="" measureGroup="tAvanc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AvanceID]" caption="Recuento de AvanceID" measure="1" displayFolder="" measureGroup="tAvanc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HorasDedicadas]" caption="Suma de HorasDedicadas" measure="1" displayFolder="" measureGroup="tAvanc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HU_ID 2]" caption="Suma de HU_ID 2" measure="1" displayFolder="" measureGroup="tAvanc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EsCompletada]" caption="Suma de EsCompletada" measure="1" displayFolder="" measureGroup="tAvanc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EsCompletada]" caption="Recuento de EsCompletada" measure="1" displayFolder="" measureGroup="tAvanc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EsCompletada]" caption="Promedio de EsCompletada" measure="1" displayFolder="" measureGroup="tAvanc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HUs Completadas]" caption="HUs Completadas" measure="1" displayFolder="" measureGroup="tAvances" count="0"/>
    <cacheHierarchy uniqueName="[Measures].[% Avance]" caption="% Avance" measure="1" displayFolder="" measureGroup="tAvances" count="0"/>
    <cacheHierarchy uniqueName="[Measures].[__XL_Count tHU]" caption="__XL_Count tHU" measure="1" displayFolder="" measureGroup="tHU" count="0" hidden="1"/>
    <cacheHierarchy uniqueName="[Measures].[__XL_Count tAvances]" caption="__XL_Count tAvances" measure="1" displayFolder="" measureGroup="tAvances" count="0" hidden="1"/>
    <cacheHierarchy uniqueName="[Measures].[__XL_Count tColaboradores]" caption="__XL_Count tColaboradores" measure="1" displayFolder="" measureGroup="tColaboradore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95396969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CEB77-795F-4D7D-85D2-8B5161A7101E}" name="TablaDinámica4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0:C47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Recuento de HU_ID" fld="0" subtotal="count" baseField="0" baseItem="0"/>
    <dataField name="Suma de PuntosEstimados" fld="2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HU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tHU">
        <x15:activeTabTopLevelEntity name="[tH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9361F-BF5A-4937-A519-AC5B368738D2}" name="TablaDinámica2" cacheId="2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4">
  <location ref="A3:C9" firstHeaderRow="0" firstDataRow="1" firstDataCol="1"/>
  <pivotFields count="5">
    <pivotField axis="axisRow" allDrilled="1" subtotalTop="0" showAll="0" defaultSubtotal="0" defaultAttributeDrillState="1">
      <items count="5">
        <item x="1"/>
        <item x="2"/>
        <item x="3"/>
        <item x="4"/>
        <item x="0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HUs" fld="1" subtotal="count" baseField="0" baseItem="3"/>
    <dataField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>
      <members count="1" level="1">
        <member name="[tHU].[FechaFinEstimada].&amp;[2026-02-17T00:00:00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HUs Completadas"/>
    <pivotHierarchy dragToData="1" caption="Total HU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HU]"/>
        <x15:activeTabTopLevelEntity name="[tAvan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560E1-C295-48AD-9AC2-979B6351FC14}" name="TablaDinámica5" cacheId="2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5">
  <location ref="A62:B87" firstHeaderRow="1" firstDataRow="1" firstDataCol="1"/>
  <pivotFields count="4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axis="axisRow" allDrilled="1" subtotalTop="0" showAll="0" dataSourceSort="1" defaultSubtotal="0">
      <items count="24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</items>
    </pivotField>
    <pivotField allDrilled="1" subtotalTop="0" showAll="0" dataSourceSort="1" defaultSubtotal="0" defaultAttributeDrillState="1"/>
  </pivotFields>
  <rowFields count="2">
    <field x="2"/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HorasDedicadas" fld="1" baseField="0" baseItem="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HorasDedicada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tAvances">
        <x15:activeTabTopLevelEntity name="[tAvances]"/>
        <x15:activeTabTopLevelEntity name="[tH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19B0A-C367-47F9-9C35-0F7778B411E3}" name="TablaDiná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04:D131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Recuento de HU_ID" fld="0" subtotal="count" baseField="0" baseItem="0"/>
    <dataField name="Suma de PuntosEstimados" fld="2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HU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tHU">
        <x15:activeTabTopLevelEntity name="[tH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A5006-5658-4DEB-A9D4-8483993E5853}" name="TablaDinámica24" cacheId="2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0">
  <location ref="B39:C64" firstHeaderRow="1" firstDataRow="1" firstDataCol="1"/>
  <pivotFields count="4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axis="axisRow" allDrilled="1" subtotalTop="0" showAll="0" dataSourceSort="1" defaultSubtotal="0">
      <items count="24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</items>
    </pivotField>
    <pivotField allDrilled="1" subtotalTop="0" showAll="0" dataSourceSort="1" defaultSubtotal="0" defaultAttributeDrillState="1"/>
  </pivotFields>
  <rowFields count="2">
    <field x="2"/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HorasDedicadas" fld="1" baseField="0" baseItem="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HorasDedicada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tAvances">
        <x15:activeTabTopLevelEntity name="[tAvances]"/>
        <x15:activeTabTopLevelEntity name="[tH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1FD59-ECA3-4A71-9FE5-D70B61C063E3}" name="TablaDinámica23" cacheId="2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4">
  <location ref="B14:F32" firstHeaderRow="1" firstDataRow="2" firstDataCol="1"/>
  <pivotFields count="4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Recuento de AvanceID" fld="2" subtotal="count" baseField="0" baseItem="0"/>
  </dataFields>
  <chartFormats count="10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3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3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3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3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3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3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3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3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3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3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3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3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3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3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</references>
      </pivotArea>
    </chartFormat>
    <chartFormat chart="3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3" format="7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3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3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3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3" format="77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3" format="78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3" format="79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3" format="80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3" format="8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</references>
      </pivotArea>
    </chartFormat>
    <chartFormat chart="3" format="82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"/>
          </reference>
        </references>
      </pivotArea>
    </chartFormat>
    <chartFormat chart="3" format="83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"/>
          </reference>
        </references>
      </pivotArea>
    </chartFormat>
    <chartFormat chart="3" format="84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3" format="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</references>
      </pivotArea>
    </chartFormat>
    <chartFormat chart="3" format="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</references>
      </pivotArea>
    </chartFormat>
    <chartFormat chart="3" format="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</references>
      </pivotArea>
    </chartFormat>
    <chartFormat chart="3" format="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8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3" format="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3" format="9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3" format="9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3" format="9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3" format="9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3" format="9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3" format="9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3" format="9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3" format="98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3" format="99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3" format="100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3" format="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3" format="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"/>
          </reference>
        </references>
      </pivotArea>
    </chartFormat>
    <chartFormat chart="3" format="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</references>
      </pivotArea>
    </chartFormat>
    <chartFormat chart="3" format="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"/>
          </reference>
        </references>
      </pivotArea>
    </chartFormat>
    <chartFormat chart="10" format="1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Recuento de Avance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vances]"/>
        <x15:activeTabTopLevelEntity name="[tColaboradores]"/>
        <x15:activeTabTopLevelEntity name="[tH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D9C54-1AC9-47E9-BD53-53502F3A159D}" name="TablaDinámica22" cacheId="1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7">
  <location ref="B3:D9" firstHeaderRow="0" firstDataRow="1" firstDataCol="1"/>
  <pivotFields count="5">
    <pivotField axis="axisRow" allDrilled="1" subtotalTop="0" showAll="0" defaultSubtotal="0" defaultAttributeDrillState="1">
      <items count="5">
        <item x="1"/>
        <item x="2"/>
        <item x="3"/>
        <item x="4"/>
        <item x="0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HUs" fld="1" subtotal="count" baseField="0" baseItem="3"/>
    <dataField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>
      <members count="1" level="1">
        <member name="[tHU].[FechaFinEstimada].&amp;[2026-02-17T00:00:00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HUs Completadas"/>
    <pivotHierarchy dragToData="1" caption="Total HU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HU]"/>
        <x15:activeTabTopLevelEntity name="[tAvan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AC674-8B14-4265-93D8-AA0A165F15EB}" name="TablaDinámica26" cacheId="2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9">
  <location ref="B81:C87" firstHeaderRow="1" firstDataRow="1" firstDataCol="1" rowPageCount="1" colPageCount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23" name="[tHU].[FechaFinEstimada].[All]" cap="All"/>
  </pageFields>
  <dataFields count="1">
    <dataField name="Total HUs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HU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tHU">
        <x15:activeTabTopLevelEntity name="[tHU]"/>
        <x15:activeTabTopLevelEntity name="[tAvan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7287A-EE87-4B5C-9913-58722254DE89}" name="TablaDinámica25" cacheId="2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3">
  <location ref="B71:D75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HUs" fld="1" subtotal="count" baseField="0" baseItem="1"/>
    <dataField name="HUs Completadas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HUs"/>
    <pivotHierarchy dragToData="1"/>
    <pivotHierarchy dragToData="1"/>
    <pivotHierarchy dragToData="1"/>
    <pivotHierarchy dragToData="1"/>
    <pivotHierarchy dragToData="1" caption="Suma de EsCompletada"/>
    <pivotHierarchy dragToData="1" caption="Recuento de EsCompletada"/>
    <pivotHierarchy dragToData="1" caption="Promedio de EsCompletada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HU]"/>
        <x15:activeTabTopLevelEntity name="[tAvan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pica" xr10:uid="{DE7ED27D-6534-4057-BD85-F9238FCFD47E}" sourceName="[tHU].[Epica]">
  <pivotTables>
    <pivotTable tabId="4" name="TablaDinámica22"/>
    <pivotTable tabId="4" name="TablaDinámica23"/>
    <pivotTable tabId="4" name="TablaDinámica24"/>
    <pivotTable tabId="4" name="TablaDinámica25"/>
    <pivotTable tabId="4" name="TablaDinámica26"/>
    <pivotTable tabId="9" name="TablaDinámica2"/>
    <pivotTable tabId="9" name="TablaDinámica5"/>
  </pivotTables>
  <data>
    <olap pivotCacheId="953969696">
      <levels count="2">
        <level uniqueName="[tHU].[Epica].[(All)]" sourceCaption="(All)" count="0"/>
        <level uniqueName="[tHU].[Epica].[Epica]" sourceCaption="Epica" count="5">
          <ranges>
            <range startItem="0">
              <i n="[tHU].[Epica].&amp;[Autenticación y Seguridad]" c="Autenticación y Seguridad"/>
              <i n="[tHU].[Epica].&amp;[Comunicados]" c="Comunicados"/>
              <i n="[tHU].[Epica].&amp;[Dashboard General]" c="Dashboard General"/>
              <i n="[tHU].[Epica].&amp;[Home Gerencia]" c="Home Gerencia"/>
              <i n="[tHU].[Epica].&amp;[Mi Asistencia]" c="Mi Asistencia"/>
            </range>
          </ranges>
        </level>
      </levels>
      <selections count="1">
        <selection n="[tHU].[Epica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ioridad" xr10:uid="{D1F910F7-62C7-4340-9E9D-6A04C8968856}" sourceName="[tHU].[Prioridad]">
  <pivotTables>
    <pivotTable tabId="4" name="TablaDinámica22"/>
    <pivotTable tabId="4" name="TablaDinámica23"/>
    <pivotTable tabId="4" name="TablaDinámica24"/>
    <pivotTable tabId="4" name="TablaDinámica25"/>
    <pivotTable tabId="4" name="TablaDinámica26"/>
    <pivotTable tabId="9" name="TablaDinámica2"/>
    <pivotTable tabId="9" name="TablaDinámica5"/>
    <pivotTable tabId="9" name="TablaDinámica4"/>
  </pivotTables>
  <data>
    <olap pivotCacheId="953969696">
      <levels count="2">
        <level uniqueName="[tHU].[Prioridad].[(All)]" sourceCaption="(All)" count="0"/>
        <level uniqueName="[tHU].[Prioridad].[Prioridad]" sourceCaption="Prioridad" count="3">
          <ranges>
            <range startItem="0">
              <i n="[tHU].[Prioridad].&amp;[Alta]" c="Alta"/>
              <i n="[tHU].[Prioridad].&amp;[Baja]" c="Baja"/>
              <i n="[tHU].[Prioridad].&amp;[Media]" c="Media"/>
            </range>
          </ranges>
        </level>
      </levels>
      <selections count="1">
        <selection n="[tHU].[Prioridad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Avance" xr10:uid="{3F8272B5-FE99-4BED-B7D4-31B47EF91390}" sourceName="[tAvances].[EstadoAvance]">
  <pivotTables>
    <pivotTable tabId="4" name="TablaDinámica22"/>
    <pivotTable tabId="4" name="TablaDinámica23"/>
    <pivotTable tabId="4" name="TablaDinámica24"/>
    <pivotTable tabId="4" name="TablaDinámica25"/>
    <pivotTable tabId="4" name="TablaDinámica26"/>
    <pivotTable tabId="9" name="TablaDinámica2"/>
    <pivotTable tabId="9" name="TablaDinámica5"/>
  </pivotTables>
  <data>
    <olap pivotCacheId="953969696">
      <levels count="2">
        <level uniqueName="[tAvances].[EstadoAvance].[(All)]" sourceCaption="(All)" count="0"/>
        <level uniqueName="[tAvances].[EstadoAvance].[EstadoAvance]" sourceCaption="EstadoAvance" count="3">
          <ranges>
            <range startItem="0">
              <i n="[tAvances].[EstadoAvance].&amp;[Completada]" c="Completada"/>
              <i n="[tAvances].[EstadoAvance].&amp;[En Progreso]" c="En Progreso"/>
              <i n="[tAvances].[EstadoAvance].&amp;[Pendiente]" c="Pendiente"/>
            </range>
          </ranges>
        </level>
      </levels>
      <selections count="1">
        <selection n="[tAvances].[EstadoAvance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Registro__día" xr10:uid="{F9966181-9D7D-46BB-8D52-D2C5C9181258}" sourceName="[tAvances].[FechaRegistro (día)]">
  <pivotTables>
    <pivotTable tabId="4" name="TablaDinámica22"/>
    <pivotTable tabId="9" name="TablaDinámica2"/>
  </pivotTables>
  <data>
    <olap pivotCacheId="953969696">
      <levels count="2">
        <level uniqueName="[tAvances].[FechaRegistro (día)].[(All)]" sourceCaption="(All)" count="0"/>
        <level uniqueName="[tAvances].[FechaRegistro (día)].[FechaRegistro (día)]" sourceCaption="FechaRegistro (día)" count="24">
          <ranges>
            <range startItem="0">
              <i n="[tAvances].[FechaRegistro (día)].&amp;[1-Nov]" c="1-Nov"/>
              <i n="[tAvances].[FechaRegistro (día)].&amp;[3-Nov]" c="3-Nov"/>
              <i n="[tAvances].[FechaRegistro (día)].&amp;[4-Nov]" c="4-Nov"/>
              <i n="[tAvances].[FechaRegistro (día)].&amp;[5-Nov]" c="5-Nov"/>
              <i n="[tAvances].[FechaRegistro (día)].&amp;[6-Nov]" c="6-Nov"/>
              <i n="[tAvances].[FechaRegistro (día)].&amp;[8-Nov]" c="8-Nov"/>
              <i n="[tAvances].[FechaRegistro (día)].&amp;[9-Nov]" c="9-Nov"/>
              <i n="[tAvances].[FechaRegistro (día)].&amp;[10-Nov]" c="10-Nov"/>
              <i n="[tAvances].[FechaRegistro (día)].&amp;[11-Nov]" c="11-Nov"/>
              <i n="[tAvances].[FechaRegistro (día)].&amp;[12-Nov]" c="12-Nov"/>
              <i n="[tAvances].[FechaRegistro (día)].&amp;[13-Nov]" c="13-Nov"/>
              <i n="[tAvances].[FechaRegistro (día)].&amp;[14-Nov]" c="14-Nov"/>
              <i n="[tAvances].[FechaRegistro (día)].&amp;[15-Nov]" c="15-Nov"/>
              <i n="[tAvances].[FechaRegistro (día)].&amp;[16-Nov]" c="16-Nov"/>
              <i n="[tAvances].[FechaRegistro (día)].&amp;[17-Nov]" c="17-Nov"/>
              <i n="[tAvances].[FechaRegistro (día)].&amp;[18-Nov]" c="18-Nov"/>
              <i n="[tAvances].[FechaRegistro (día)].&amp;[19-Nov]" c="19-Nov"/>
              <i n="[tAvances].[FechaRegistro (día)].&amp;[20-Nov]" c="20-Nov"/>
              <i n="[tAvances].[FechaRegistro (día)].&amp;[21-Nov]" c="21-Nov"/>
              <i n="[tAvances].[FechaRegistro (día)].&amp;[22-Nov]" c="22-Nov"/>
              <i n="[tAvances].[FechaRegistro (día)].&amp;[23-Nov]" c="23-Nov"/>
              <i n="[tAvances].[FechaRegistro (día)].&amp;[24-Nov]" c="24-Nov"/>
              <i n="[tAvances].[FechaRegistro (día)].&amp;[25-Nov]" c="25-Nov"/>
              <i n="[tAvances].[FechaRegistro (día)].&amp;[26-Nov]" c="26-Nov"/>
            </range>
          </ranges>
        </level>
      </levels>
      <selections count="1">
        <selection n="[tAvances].[FechaRegistro (día)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Retraso" xr10:uid="{A1676358-E9F5-45C7-A771-74C933091884}" sourceName="[tHU].[DiasRetraso]">
  <pivotTables>
    <pivotTable tabId="4" name="TablaDinámica22"/>
    <pivotTable tabId="9" name="TablaDinámica2"/>
  </pivotTables>
  <data>
    <olap pivotCacheId="953969696">
      <levels count="2">
        <level uniqueName="[tHU].[DiasRetraso].[(All)]" sourceCaption="(All)" count="0"/>
        <level uniqueName="[tHU].[DiasRetraso].[DiasRetraso]" sourceCaption="DiasRetraso" count="8">
          <ranges>
            <range startItem="0">
              <i n="[tHU].[DiasRetraso].&amp;[0]" c="0"/>
              <i n="[tHU].[DiasRetraso].&amp;[1]" c="1"/>
              <i n="[tHU].[DiasRetraso].&amp;[2]" c="2"/>
              <i n="[tHU].[DiasRetraso].&amp;[3]" c="3"/>
              <i n="[tHU].[DiasRetraso].&amp;[4]" c="4"/>
              <i n="[tHU].[DiasRetraso].&amp;[5]" c="5"/>
              <i n="[tHU].[DiasRetraso].&amp;[6]" c="6"/>
              <i n="[tHU].[DiasRetraso].&amp;[9]" c="9"/>
            </range>
          </ranges>
        </level>
      </levels>
      <selections count="1">
        <selection n="[tHU].[DiasRetraso].[All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FinEstimada" xr10:uid="{5B13D847-7A10-43B8-8A60-49D7A5F8C99B}" sourceName="[tHU].[FechaFinEstimada]">
  <pivotTables>
    <pivotTable tabId="4" name="TablaDinámica26"/>
  </pivotTables>
  <data>
    <olap pivotCacheId="953969696">
      <levels count="2">
        <level uniqueName="[tHU].[FechaFinEstimada].[(All)]" sourceCaption="(All)" count="0"/>
        <level uniqueName="[tHU].[FechaFinEstimada].[FechaFinEstimada]" sourceCaption="FechaFinEstimada" count="15">
          <ranges>
            <range startItem="0">
              <i n="[tHU].[FechaFinEstimada].&amp;[2026-02-07T00:00:00]" c="7/02/2026"/>
              <i n="[tHU].[FechaFinEstimada].&amp;[2026-02-08T00:00:00]" c="8/02/2026"/>
              <i n="[tHU].[FechaFinEstimada].&amp;[2026-02-10T00:00:00]" c="10/02/2026"/>
              <i n="[tHU].[FechaFinEstimada].&amp;[2026-02-12T00:00:00]" c="12/02/2026"/>
              <i n="[tHU].[FechaFinEstimada].&amp;[2026-02-13T00:00:00]" c="13/02/2026"/>
              <i n="[tHU].[FechaFinEstimada].&amp;[2026-02-14T00:00:00]" c="14/02/2026"/>
              <i n="[tHU].[FechaFinEstimada].&amp;[2026-02-15T00:00:00]" c="15/02/2026"/>
              <i n="[tHU].[FechaFinEstimada].&amp;[2026-02-16T00:00:00]" c="16/02/2026"/>
              <i n="[tHU].[FechaFinEstimada].&amp;[2026-02-17T00:00:00]" c="17/02/2026"/>
              <i n="[tHU].[FechaFinEstimada].&amp;[2026-02-18T00:00:00]" c="18/02/2026"/>
              <i n="[tHU].[FechaFinEstimada].&amp;[2026-02-19T00:00:00]" c="19/02/2026"/>
              <i n="[tHU].[FechaFinEstimada].&amp;[2026-02-20T00:00:00]" c="20/02/2026"/>
              <i n="[tHU].[FechaFinEstimada].&amp;[2026-02-21T00:00:00]" c="21/02/2026"/>
              <i n="[tHU].[FechaFinEstimada].&amp;[2026-02-22T00:00:00]" c="22/02/2026"/>
              <i n="[tHU].[FechaFinEstimada].&amp;[2026-02-23T00:00:00]" c="23/02/2026"/>
            </range>
          </ranges>
        </level>
      </levels>
      <selections count="1">
        <selection n="[tHU].[FechaFinEstimad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pica 1" xr10:uid="{D5F1FD5A-9037-4F4B-A05C-E467F70900D1}" cache="SegmentaciónDeDatos_Epica" caption="Epica" level="1" style="SlicerStyleOther2" rowHeight="257175"/>
  <slicer name="Prioridad 1" xr10:uid="{95353380-EB3E-40BC-B0E9-C01CCD1E1228}" cache="SegmentaciónDeDatos_Prioridad" caption="Prioridad" level="1" style="SlicerStyleOther2" rowHeight="257175"/>
  <slicer name="EstadoAvance 1" xr10:uid="{05DA0122-119F-477C-AD23-2306B103005B}" cache="SegmentaciónDeDatos_EstadoAvance" caption="EstadoAvance" level="1" style="SlicerStyleOther2" rowHeight="257175"/>
  <slicer name="FechaRegistro (día)" xr10:uid="{48876E95-40A1-4182-8204-F1FB9EF8A8FD}" cache="SegmentaciónDeDatos_FechaRegistro__día" caption="FechaRegistro (día)" startItem="6" level="1" rowHeight="257175"/>
  <slicer name="DiasRetraso" xr10:uid="{881F359F-43C7-4D65-84C3-817E45C2748E}" cache="SegmentaciónDeDatos_DiasRetraso" caption="DiasRetraso" level="1" rowHeight="257175"/>
  <slicer name="FechaFinEstimada" xr10:uid="{D8A749DB-2E3C-44DC-95EF-A00CFCCF720E}" cache="SegmentaciónDeDatos_FechaFinEstimada" caption="FechaFinEstimada" level="1" style="SlicerStyleOther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pica" xr10:uid="{154A3AE5-1F51-4104-BC2B-0F5594EEADD6}" cache="SegmentaciónDeDatos_Epica" caption="Epica" level="1" rowHeight="257175"/>
  <slicer name="Prioridad" xr10:uid="{A0EE80AF-2DC1-4924-AD16-A3C1FAEF58C7}" cache="SegmentaciónDeDatos_Prioridad" caption="Prioridad" level="1" rowHeight="257175"/>
  <slicer name="EstadoAvance" xr10:uid="{13B6BA90-3F70-4190-9574-68DB24B5C7CF}" cache="SegmentaciónDeDatos_EstadoAvance" caption="EstadoAvance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089E17-ACC0-4B11-812C-14DDBD9163AA}" name="tColaboradores" displayName="tColaboradores" ref="A1:E21" totalsRowShown="0" headerRowDxfId="24" dataDxfId="23" tableBorderDxfId="22">
  <autoFilter ref="A1:E21" xr:uid="{29089E17-ACC0-4B11-812C-14DDBD9163AA}"/>
  <tableColumns count="5">
    <tableColumn id="1" xr3:uid="{FF90F34D-EE26-4841-A3B5-59A02E0761FF}" name="Colaborador ID" dataDxfId="21">
      <calculatedColumnFormula array="1">ROW(1:1)</calculatedColumnFormula>
    </tableColumn>
    <tableColumn id="2" xr3:uid="{4CAC5F2A-C7B2-4FAE-AAD8-9DB6F77B49C9}" name="Nombres" dataDxfId="20"/>
    <tableColumn id="3" xr3:uid="{2904094D-F2DB-4500-9E17-9D4C0749B31E}" name="Rol" dataDxfId="19"/>
    <tableColumn id="4" xr3:uid="{F9138D0A-01C9-403F-B42E-21D26BEE3C73}" name="Area" dataDxfId="18"/>
    <tableColumn id="5" xr3:uid="{26B558D3-BDF7-441D-8C62-BC1DAEB86B5D}" name="FechaIngreso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123CC6-8A2C-4307-985A-5FB47567D35A}" name="tHU" displayName="tHU" ref="A1:J31" totalsRowShown="0" headerRowDxfId="16" dataDxfId="15" tableBorderDxfId="14">
  <autoFilter ref="A1:J31" xr:uid="{24123CC6-8A2C-4307-985A-5FB47567D35A}"/>
  <tableColumns count="10">
    <tableColumn id="1" xr3:uid="{42C8B418-4A7C-4A75-945E-03009F711263}" name="HU_ID" dataDxfId="13"/>
    <tableColumn id="2" xr3:uid="{1682C7A5-4924-4586-91A9-BB2D4E935F8D}" name="Epica" dataDxfId="12"/>
    <tableColumn id="3" xr3:uid="{F024E55D-921F-46E7-AA18-7769B163DC04}" name="HU_Codigo" dataDxfId="11"/>
    <tableColumn id="4" xr3:uid="{991109A1-A01F-445C-97A9-C919886C8096}" name="NombreHistoria" dataDxfId="10"/>
    <tableColumn id="5" xr3:uid="{A8F4CC02-B615-4645-B44D-E6A4230566BB}" name="Prioridad" dataDxfId="9"/>
    <tableColumn id="6" xr3:uid="{B008DE21-B748-4709-88C3-41DF5C382BC7}" name="PuntosEstimados" dataDxfId="8"/>
    <tableColumn id="7" xr3:uid="{FF3F777A-D951-4412-BC02-47219C8C6B0C}" name="ResponsableAsignadoID" dataDxfId="7"/>
    <tableColumn id="8" xr3:uid="{C9190356-1C30-4AEA-B281-2B989F0576A1}" name="FechaInicioEstimada" dataDxfId="6"/>
    <tableColumn id="9" xr3:uid="{FE2CB12F-613E-434A-9130-42354C58484E}" name="FechaFinEstimada" dataDxfId="5"/>
    <tableColumn id="10" xr3:uid="{96828332-85EA-4B28-A572-6E1D1038E1BE}" name="DiasRetraso" dataDxfId="4">
      <calculatedColumnFormula>IF(AND(TODAY() &gt; [1]HU!$I2, COUNTIFS([1]Avances_Diarios!$B$2:$B$36, [1]HU!$A2, [1]Avances_Diarios!$H$2:$H$36, 1) = 0), TODAY() - [1]HU!$I2, 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1BF9D1-1CE0-47E2-87BD-2CE895256B6D}" name="tAvances" displayName="tAvances" ref="A1:I34" totalsRowShown="0" headerRowDxfId="3" tableBorderDxfId="2">
  <autoFilter ref="A1:I34" xr:uid="{4C1BF9D1-1CE0-47E2-87BD-2CE895256B6D}"/>
  <tableColumns count="9">
    <tableColumn id="1" xr3:uid="{5CB9397F-5D57-4785-B1F8-8075785E75F2}" name="AvanceID"/>
    <tableColumn id="2" xr3:uid="{C4B9499F-A03E-46FE-A144-ED7DE1810B5F}" name="HU_ID"/>
    <tableColumn id="3" xr3:uid="{6C1732A5-4D23-4E6F-BD3D-3A01AC13A54D}" name="ColaboradorID"/>
    <tableColumn id="4" xr3:uid="{7549AB80-FFAA-4A08-8963-4DE2D767FC65}" name="FechaRegistro"/>
    <tableColumn id="5" xr3:uid="{51F8F040-7B0A-41BA-BEDB-570419BB4454}" name="HorasDedicadas"/>
    <tableColumn id="6" xr3:uid="{CC7B4437-A0DF-4CBE-B2FC-227B0A2EF857}" name="EstadoAvance"/>
    <tableColumn id="7" xr3:uid="{DD5DC2EF-B965-4038-AB26-4091E161FE02}" name="Comentario"/>
    <tableColumn id="8" xr3:uid="{93A4F40F-01B1-45CC-BF4F-8D35188AF755}" name="EsCompletada" dataDxfId="1">
      <calculatedColumnFormula>IF(AND(F2="Completada", COUNTIF($B$2:B2, B2) = COUNTIF($B$2:$B$1016, B2)), 1, 0)</calculatedColumnFormula>
    </tableColumn>
    <tableColumn id="9" xr3:uid="{C2E00EC1-B548-4477-BE6E-F935ED7D5457}" name="Áreas" dataDxfId="0">
      <calculatedColumnFormula>VLOOKUP([1]Avances_Diarios!$C2, [1]!tColaboradores[#Data], 3,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6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043D-12A2-44EC-8326-A79B8ED6BDDE}">
  <sheetPr>
    <tabColor rgb="FF34365A"/>
  </sheetPr>
  <dimension ref="A1:AC91"/>
  <sheetViews>
    <sheetView tabSelected="1" topLeftCell="F1" zoomScale="85" zoomScaleNormal="85" workbookViewId="0">
      <selection activeCell="AF8" sqref="AF8"/>
    </sheetView>
  </sheetViews>
  <sheetFormatPr baseColWidth="10" defaultRowHeight="15" x14ac:dyDescent="0.25"/>
  <cols>
    <col min="1" max="1" width="56" hidden="1" customWidth="1"/>
    <col min="2" max="2" width="25.42578125" hidden="1" customWidth="1"/>
    <col min="3" max="3" width="33.85546875" hidden="1" customWidth="1"/>
    <col min="4" max="4" width="11.42578125" hidden="1" customWidth="1"/>
    <col min="5" max="5" width="0" hidden="1" customWidth="1"/>
    <col min="6" max="6" width="1.5703125" customWidth="1"/>
  </cols>
  <sheetData>
    <row r="1" spans="1:29" ht="23.25" customHeight="1" x14ac:dyDescent="0.25">
      <c r="F1" s="33" t="s">
        <v>202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4"/>
    </row>
    <row r="2" spans="1:29" ht="23.25" customHeight="1" x14ac:dyDescent="0.25">
      <c r="A2" s="32" t="s">
        <v>168</v>
      </c>
      <c r="B2" s="32"/>
      <c r="C2" s="32"/>
      <c r="D2" s="2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4"/>
    </row>
    <row r="3" spans="1:29" ht="23.25" customHeight="1" x14ac:dyDescent="0.25">
      <c r="A3" s="24" t="s">
        <v>166</v>
      </c>
      <c r="B3" t="s">
        <v>169</v>
      </c>
      <c r="C3" t="s">
        <v>170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29" ht="23.25" customHeight="1" x14ac:dyDescent="0.25">
      <c r="A4" s="25" t="s">
        <v>110</v>
      </c>
      <c r="B4">
        <v>6</v>
      </c>
      <c r="C4">
        <v>5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spans="1:29" x14ac:dyDescent="0.25">
      <c r="A5" s="25" t="s">
        <v>121</v>
      </c>
      <c r="B5">
        <v>3</v>
      </c>
      <c r="C5">
        <v>0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x14ac:dyDescent="0.25">
      <c r="A6" s="25" t="s">
        <v>75</v>
      </c>
      <c r="B6">
        <v>6</v>
      </c>
      <c r="C6">
        <v>4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1:29" x14ac:dyDescent="0.25">
      <c r="A7" s="25" t="s">
        <v>89</v>
      </c>
      <c r="B7">
        <v>11</v>
      </c>
      <c r="C7">
        <v>4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1:29" x14ac:dyDescent="0.25">
      <c r="A8" s="25" t="s">
        <v>64</v>
      </c>
      <c r="B8">
        <v>4</v>
      </c>
      <c r="C8">
        <v>2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29" x14ac:dyDescent="0.25">
      <c r="A9" s="25" t="s">
        <v>167</v>
      </c>
      <c r="B9">
        <v>30</v>
      </c>
      <c r="C9">
        <v>15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1:29" x14ac:dyDescent="0.25"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spans="1:29" x14ac:dyDescent="0.25"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spans="1:29" x14ac:dyDescent="0.25"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spans="1:29" x14ac:dyDescent="0.25">
      <c r="B13" s="31">
        <f>GETPIVOTDATA("[Measures].[HUs Completadas]",$A$3)/GETPIVOTDATA("[Measures].[Recuento de HU_ID]",$A$3)</f>
        <v>0.5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spans="1:29" x14ac:dyDescent="0.25">
      <c r="B14">
        <f>GETPIVOTDATA("[Measures].[Recuento de HU_ID]",$A$3)</f>
        <v>30</v>
      </c>
      <c r="C14">
        <f>GETPIVOTDATA("[Measures].[HUs Completadas]",$A$3)</f>
        <v>15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spans="1:29" x14ac:dyDescent="0.25"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spans="1:29" x14ac:dyDescent="0.25"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spans="1:29" x14ac:dyDescent="0.25"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spans="1:29" x14ac:dyDescent="0.25"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spans="1:29" x14ac:dyDescent="0.25"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x14ac:dyDescent="0.25">
      <c r="A20" s="24" t="s">
        <v>166</v>
      </c>
      <c r="B20" t="s">
        <v>203</v>
      </c>
      <c r="C20" t="s">
        <v>204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spans="1:29" x14ac:dyDescent="0.25">
      <c r="A21" s="25" t="s">
        <v>127</v>
      </c>
      <c r="B21">
        <v>1</v>
      </c>
      <c r="C21">
        <v>3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spans="1:29" x14ac:dyDescent="0.25">
      <c r="A22" s="25" t="s">
        <v>69</v>
      </c>
      <c r="B22">
        <v>1</v>
      </c>
      <c r="C22">
        <v>5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spans="1:29" x14ac:dyDescent="0.25">
      <c r="A23" s="25" t="s">
        <v>88</v>
      </c>
      <c r="B23">
        <v>1</v>
      </c>
      <c r="C23">
        <v>3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spans="1:29" x14ac:dyDescent="0.25">
      <c r="A24" s="25" t="s">
        <v>84</v>
      </c>
      <c r="B24">
        <v>1</v>
      </c>
      <c r="C24">
        <v>5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spans="1:29" x14ac:dyDescent="0.25">
      <c r="A25" s="25" t="s">
        <v>74</v>
      </c>
      <c r="B25">
        <v>1</v>
      </c>
      <c r="C25">
        <v>7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spans="1:29" x14ac:dyDescent="0.25">
      <c r="A26" s="25" t="s">
        <v>79</v>
      </c>
      <c r="B26">
        <v>3</v>
      </c>
      <c r="C26">
        <v>6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spans="1:29" x14ac:dyDescent="0.25">
      <c r="A27" s="25" t="s">
        <v>95</v>
      </c>
      <c r="B27">
        <v>1</v>
      </c>
      <c r="C27">
        <v>5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spans="1:29" x14ac:dyDescent="0.25">
      <c r="A28" s="25" t="s">
        <v>116</v>
      </c>
      <c r="B28">
        <v>1</v>
      </c>
      <c r="C28">
        <v>5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spans="1:29" x14ac:dyDescent="0.25">
      <c r="A29" s="25" t="s">
        <v>86</v>
      </c>
      <c r="B29">
        <v>1</v>
      </c>
      <c r="C29">
        <v>8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spans="1:29" x14ac:dyDescent="0.25">
      <c r="A30" s="25" t="s">
        <v>82</v>
      </c>
      <c r="B30">
        <v>3</v>
      </c>
      <c r="C30">
        <v>9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spans="1:29" x14ac:dyDescent="0.25">
      <c r="A31" s="25" t="s">
        <v>125</v>
      </c>
      <c r="B31">
        <v>1</v>
      </c>
      <c r="C31">
        <v>4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spans="1:29" x14ac:dyDescent="0.25">
      <c r="A32" s="25" t="s">
        <v>66</v>
      </c>
      <c r="B32">
        <v>1</v>
      </c>
      <c r="C32">
        <v>3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spans="1:29" x14ac:dyDescent="0.25">
      <c r="A33" s="25" t="s">
        <v>71</v>
      </c>
      <c r="B33">
        <v>1</v>
      </c>
      <c r="C33">
        <v>3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spans="1:29" x14ac:dyDescent="0.25">
      <c r="A34" s="25" t="s">
        <v>112</v>
      </c>
      <c r="B34">
        <v>1</v>
      </c>
      <c r="C34">
        <v>5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29" x14ac:dyDescent="0.25">
      <c r="A35" s="25" t="s">
        <v>77</v>
      </c>
      <c r="B35">
        <v>1</v>
      </c>
      <c r="C35">
        <v>5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spans="1:29" x14ac:dyDescent="0.25">
      <c r="A36" s="25" t="s">
        <v>91</v>
      </c>
      <c r="B36">
        <v>1</v>
      </c>
      <c r="C36">
        <v>5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spans="1:29" x14ac:dyDescent="0.25">
      <c r="A37" s="25" t="s">
        <v>123</v>
      </c>
      <c r="B37">
        <v>1</v>
      </c>
      <c r="C37">
        <v>5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spans="1:29" x14ac:dyDescent="0.25">
      <c r="A38" s="25" t="s">
        <v>118</v>
      </c>
      <c r="B38">
        <v>1</v>
      </c>
      <c r="C38">
        <v>4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spans="1:29" x14ac:dyDescent="0.25">
      <c r="A39" s="25" t="s">
        <v>120</v>
      </c>
      <c r="B39">
        <v>1</v>
      </c>
      <c r="C39">
        <v>3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spans="1:29" x14ac:dyDescent="0.25">
      <c r="A40" s="25" t="s">
        <v>97</v>
      </c>
      <c r="B40">
        <v>1</v>
      </c>
      <c r="C40">
        <v>3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spans="1:29" x14ac:dyDescent="0.25">
      <c r="A41" s="25" t="s">
        <v>105</v>
      </c>
      <c r="B41">
        <v>1</v>
      </c>
      <c r="C41">
        <v>6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spans="1:29" x14ac:dyDescent="0.25">
      <c r="A42" s="25" t="s">
        <v>107</v>
      </c>
      <c r="B42">
        <v>1</v>
      </c>
      <c r="C42">
        <v>3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spans="1:29" x14ac:dyDescent="0.25">
      <c r="A43" s="25" t="s">
        <v>109</v>
      </c>
      <c r="B43">
        <v>1</v>
      </c>
      <c r="C43">
        <v>4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spans="1:29" x14ac:dyDescent="0.25">
      <c r="A44" s="25" t="s">
        <v>103</v>
      </c>
      <c r="B44">
        <v>1</v>
      </c>
      <c r="C44">
        <v>5</v>
      </c>
    </row>
    <row r="45" spans="1:29" x14ac:dyDescent="0.25">
      <c r="A45" s="25" t="s">
        <v>101</v>
      </c>
      <c r="B45">
        <v>1</v>
      </c>
      <c r="C45">
        <v>2</v>
      </c>
    </row>
    <row r="46" spans="1:29" x14ac:dyDescent="0.25">
      <c r="A46" s="25" t="s">
        <v>99</v>
      </c>
      <c r="B46">
        <v>1</v>
      </c>
      <c r="C46">
        <v>4</v>
      </c>
    </row>
    <row r="47" spans="1:29" x14ac:dyDescent="0.25">
      <c r="A47" s="25" t="s">
        <v>167</v>
      </c>
      <c r="B47">
        <v>30</v>
      </c>
      <c r="C47">
        <v>120</v>
      </c>
    </row>
    <row r="52" spans="1:3" x14ac:dyDescent="0.25">
      <c r="C52">
        <f>GETPIVOTDATA("[Measures].[Suma de PuntosEstimados]",$A$20)</f>
        <v>120</v>
      </c>
    </row>
    <row r="61" spans="1:3" ht="15.75" x14ac:dyDescent="0.25">
      <c r="A61" s="32" t="s">
        <v>198</v>
      </c>
      <c r="B61" s="32"/>
    </row>
    <row r="62" spans="1:3" x14ac:dyDescent="0.25">
      <c r="A62" s="24" t="s">
        <v>166</v>
      </c>
      <c r="B62" t="s">
        <v>131</v>
      </c>
    </row>
    <row r="63" spans="1:3" x14ac:dyDescent="0.25">
      <c r="A63" s="25" t="s">
        <v>174</v>
      </c>
      <c r="B63">
        <v>3</v>
      </c>
    </row>
    <row r="64" spans="1:3" x14ac:dyDescent="0.25">
      <c r="A64" s="25" t="s">
        <v>175</v>
      </c>
      <c r="B64">
        <v>4</v>
      </c>
    </row>
    <row r="65" spans="1:2" x14ac:dyDescent="0.25">
      <c r="A65" s="25" t="s">
        <v>176</v>
      </c>
      <c r="B65">
        <v>4</v>
      </c>
    </row>
    <row r="66" spans="1:2" x14ac:dyDescent="0.25">
      <c r="A66" s="25" t="s">
        <v>177</v>
      </c>
      <c r="B66">
        <v>7</v>
      </c>
    </row>
    <row r="67" spans="1:2" x14ac:dyDescent="0.25">
      <c r="A67" s="25" t="s">
        <v>178</v>
      </c>
      <c r="B67">
        <v>2</v>
      </c>
    </row>
    <row r="68" spans="1:2" x14ac:dyDescent="0.25">
      <c r="A68" s="25" t="s">
        <v>179</v>
      </c>
      <c r="B68">
        <v>7</v>
      </c>
    </row>
    <row r="69" spans="1:2" x14ac:dyDescent="0.25">
      <c r="A69" s="25" t="s">
        <v>180</v>
      </c>
      <c r="B69">
        <v>2</v>
      </c>
    </row>
    <row r="70" spans="1:2" x14ac:dyDescent="0.25">
      <c r="A70" s="25" t="s">
        <v>181</v>
      </c>
      <c r="B70">
        <v>3</v>
      </c>
    </row>
    <row r="71" spans="1:2" x14ac:dyDescent="0.25">
      <c r="A71" s="25" t="s">
        <v>182</v>
      </c>
      <c r="B71">
        <v>4</v>
      </c>
    </row>
    <row r="72" spans="1:2" x14ac:dyDescent="0.25">
      <c r="A72" s="25" t="s">
        <v>183</v>
      </c>
      <c r="B72">
        <v>8</v>
      </c>
    </row>
    <row r="73" spans="1:2" x14ac:dyDescent="0.25">
      <c r="A73" s="25" t="s">
        <v>184</v>
      </c>
      <c r="B73">
        <v>7</v>
      </c>
    </row>
    <row r="74" spans="1:2" x14ac:dyDescent="0.25">
      <c r="A74" s="25" t="s">
        <v>185</v>
      </c>
      <c r="B74">
        <v>3</v>
      </c>
    </row>
    <row r="75" spans="1:2" x14ac:dyDescent="0.25">
      <c r="A75" s="25" t="s">
        <v>186</v>
      </c>
      <c r="B75">
        <v>6</v>
      </c>
    </row>
    <row r="76" spans="1:2" x14ac:dyDescent="0.25">
      <c r="A76" s="25" t="s">
        <v>187</v>
      </c>
      <c r="B76">
        <v>3</v>
      </c>
    </row>
    <row r="77" spans="1:2" x14ac:dyDescent="0.25">
      <c r="A77" s="25" t="s">
        <v>188</v>
      </c>
      <c r="B77">
        <v>2</v>
      </c>
    </row>
    <row r="78" spans="1:2" x14ac:dyDescent="0.25">
      <c r="A78" s="25" t="s">
        <v>189</v>
      </c>
      <c r="B78">
        <v>3</v>
      </c>
    </row>
    <row r="79" spans="1:2" x14ac:dyDescent="0.25">
      <c r="A79" s="25" t="s">
        <v>190</v>
      </c>
      <c r="B79">
        <v>6</v>
      </c>
    </row>
    <row r="80" spans="1:2" x14ac:dyDescent="0.25">
      <c r="A80" s="25" t="s">
        <v>191</v>
      </c>
      <c r="B80">
        <v>4</v>
      </c>
    </row>
    <row r="81" spans="1:2" x14ac:dyDescent="0.25">
      <c r="A81" s="25" t="s">
        <v>192</v>
      </c>
      <c r="B81">
        <v>2</v>
      </c>
    </row>
    <row r="82" spans="1:2" x14ac:dyDescent="0.25">
      <c r="A82" s="25" t="s">
        <v>193</v>
      </c>
      <c r="B82">
        <v>3</v>
      </c>
    </row>
    <row r="83" spans="1:2" x14ac:dyDescent="0.25">
      <c r="A83" s="25" t="s">
        <v>194</v>
      </c>
      <c r="B83">
        <v>2</v>
      </c>
    </row>
    <row r="84" spans="1:2" x14ac:dyDescent="0.25">
      <c r="A84" s="25" t="s">
        <v>195</v>
      </c>
      <c r="B84">
        <v>3</v>
      </c>
    </row>
    <row r="85" spans="1:2" x14ac:dyDescent="0.25">
      <c r="A85" s="25" t="s">
        <v>196</v>
      </c>
      <c r="B85">
        <v>2</v>
      </c>
    </row>
    <row r="86" spans="1:2" x14ac:dyDescent="0.25">
      <c r="A86" s="25" t="s">
        <v>197</v>
      </c>
      <c r="B86">
        <v>1</v>
      </c>
    </row>
    <row r="87" spans="1:2" x14ac:dyDescent="0.25">
      <c r="A87" s="25" t="s">
        <v>167</v>
      </c>
      <c r="B87">
        <v>91</v>
      </c>
    </row>
    <row r="91" spans="1:2" x14ac:dyDescent="0.25">
      <c r="B91">
        <f>GETPIVOTDATA("[Measures].[Suma de HorasDedicadas]",$A$62)</f>
        <v>91</v>
      </c>
    </row>
  </sheetData>
  <mergeCells count="3">
    <mergeCell ref="A2:C2"/>
    <mergeCell ref="A61:B61"/>
    <mergeCell ref="F1:AB2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5B69-CE82-4177-B105-24589E9C6A9E}">
  <sheetPr>
    <tabColor rgb="FFFF0000"/>
  </sheetPr>
  <dimension ref="A1:E21"/>
  <sheetViews>
    <sheetView workbookViewId="0">
      <selection sqref="A1:E21"/>
    </sheetView>
  </sheetViews>
  <sheetFormatPr baseColWidth="10" defaultRowHeight="15" x14ac:dyDescent="0.25"/>
  <cols>
    <col min="1" max="2" width="28.28515625" customWidth="1"/>
    <col min="3" max="4" width="27.140625" customWidth="1"/>
    <col min="5" max="5" width="21" customWidth="1"/>
  </cols>
  <sheetData>
    <row r="1" spans="1:5" ht="17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x14ac:dyDescent="0.25">
      <c r="A2" s="3" cm="1">
        <f t="array" ref="A2">ROW(1:1)</f>
        <v>1</v>
      </c>
      <c r="B2" s="4" t="s">
        <v>5</v>
      </c>
      <c r="C2" s="5" t="s">
        <v>6</v>
      </c>
      <c r="D2" s="5" t="s">
        <v>7</v>
      </c>
      <c r="E2" s="6">
        <v>45672</v>
      </c>
    </row>
    <row r="3" spans="1:5" ht="16.5" x14ac:dyDescent="0.25">
      <c r="A3" s="7" cm="1">
        <f t="array" ref="A3">ROW(2:2)</f>
        <v>2</v>
      </c>
      <c r="B3" s="8" t="s">
        <v>8</v>
      </c>
      <c r="C3" s="8" t="s">
        <v>9</v>
      </c>
      <c r="D3" s="8" t="s">
        <v>7</v>
      </c>
      <c r="E3" s="9">
        <v>45689</v>
      </c>
    </row>
    <row r="4" spans="1:5" ht="16.5" x14ac:dyDescent="0.25">
      <c r="A4" s="7" cm="1">
        <f t="array" ref="A4">ROW(3:3)</f>
        <v>3</v>
      </c>
      <c r="B4" s="8" t="s">
        <v>10</v>
      </c>
      <c r="C4" s="8" t="s">
        <v>11</v>
      </c>
      <c r="D4" s="8" t="s">
        <v>12</v>
      </c>
      <c r="E4" s="9">
        <v>45667</v>
      </c>
    </row>
    <row r="5" spans="1:5" ht="16.5" x14ac:dyDescent="0.25">
      <c r="A5" s="7" cm="1">
        <f t="array" ref="A5">ROW(4:4)</f>
        <v>4</v>
      </c>
      <c r="B5" s="8" t="s">
        <v>13</v>
      </c>
      <c r="C5" s="8" t="s">
        <v>14</v>
      </c>
      <c r="D5" s="8" t="s">
        <v>15</v>
      </c>
      <c r="E5" s="9">
        <v>45717</v>
      </c>
    </row>
    <row r="6" spans="1:5" ht="16.5" x14ac:dyDescent="0.25">
      <c r="A6" s="7" cm="1">
        <f t="array" ref="A6">ROW(5:5)</f>
        <v>5</v>
      </c>
      <c r="B6" s="8" t="s">
        <v>16</v>
      </c>
      <c r="C6" s="8" t="s">
        <v>17</v>
      </c>
      <c r="D6" s="8" t="s">
        <v>7</v>
      </c>
      <c r="E6" s="9">
        <v>45611</v>
      </c>
    </row>
    <row r="7" spans="1:5" ht="16.5" x14ac:dyDescent="0.25">
      <c r="A7" s="7" cm="1">
        <f t="array" ref="A7">ROW(6:6)</f>
        <v>6</v>
      </c>
      <c r="B7" s="8" t="s">
        <v>18</v>
      </c>
      <c r="C7" s="8" t="s">
        <v>19</v>
      </c>
      <c r="D7" s="8" t="s">
        <v>20</v>
      </c>
      <c r="E7" s="9">
        <v>45585</v>
      </c>
    </row>
    <row r="8" spans="1:5" ht="16.5" x14ac:dyDescent="0.25">
      <c r="A8" s="7" cm="1">
        <f t="array" ref="A8">ROW(7:7)</f>
        <v>7</v>
      </c>
      <c r="B8" s="8" t="s">
        <v>21</v>
      </c>
      <c r="C8" s="8" t="s">
        <v>22</v>
      </c>
      <c r="D8" s="8" t="s">
        <v>7</v>
      </c>
      <c r="E8" s="9">
        <v>45677</v>
      </c>
    </row>
    <row r="9" spans="1:5" ht="16.5" x14ac:dyDescent="0.25">
      <c r="A9" s="7" cm="1">
        <f t="array" ref="A9">ROW(8:8)</f>
        <v>8</v>
      </c>
      <c r="B9" s="8" t="s">
        <v>23</v>
      </c>
      <c r="C9" s="8" t="s">
        <v>24</v>
      </c>
      <c r="D9" s="8" t="s">
        <v>25</v>
      </c>
      <c r="E9" s="9">
        <v>45703</v>
      </c>
    </row>
    <row r="10" spans="1:5" ht="16.5" x14ac:dyDescent="0.25">
      <c r="A10" s="7" cm="1">
        <f t="array" ref="A10">ROW(9:9)</f>
        <v>9</v>
      </c>
      <c r="B10" s="8" t="s">
        <v>26</v>
      </c>
      <c r="C10" s="8" t="s">
        <v>27</v>
      </c>
      <c r="D10" s="8" t="s">
        <v>28</v>
      </c>
      <c r="E10" s="9">
        <v>45627</v>
      </c>
    </row>
    <row r="11" spans="1:5" ht="16.5" x14ac:dyDescent="0.25">
      <c r="A11" s="7" cm="1">
        <f t="array" ref="A11">ROW(10:10)</f>
        <v>10</v>
      </c>
      <c r="B11" s="8" t="s">
        <v>29</v>
      </c>
      <c r="C11" s="8" t="s">
        <v>30</v>
      </c>
      <c r="D11" s="8" t="s">
        <v>15</v>
      </c>
      <c r="E11" s="9">
        <v>45662</v>
      </c>
    </row>
    <row r="12" spans="1:5" ht="16.5" x14ac:dyDescent="0.25">
      <c r="A12" s="7" cm="1">
        <f t="array" ref="A12">ROW(11:11)</f>
        <v>11</v>
      </c>
      <c r="B12" s="8" t="s">
        <v>31</v>
      </c>
      <c r="C12" s="8" t="s">
        <v>32</v>
      </c>
      <c r="D12" s="8" t="s">
        <v>33</v>
      </c>
      <c r="E12" s="9">
        <v>45698</v>
      </c>
    </row>
    <row r="13" spans="1:5" ht="16.5" x14ac:dyDescent="0.25">
      <c r="A13" s="7" cm="1">
        <f t="array" ref="A13">ROW(12:12)</f>
        <v>12</v>
      </c>
      <c r="B13" s="8" t="s">
        <v>34</v>
      </c>
      <c r="C13" s="8" t="s">
        <v>35</v>
      </c>
      <c r="D13" s="8" t="s">
        <v>20</v>
      </c>
      <c r="E13" s="9">
        <v>45550</v>
      </c>
    </row>
    <row r="14" spans="1:5" ht="16.5" x14ac:dyDescent="0.25">
      <c r="A14" s="7" cm="1">
        <f t="array" ref="A14">ROW(13:13)</f>
        <v>13</v>
      </c>
      <c r="B14" s="8" t="s">
        <v>36</v>
      </c>
      <c r="C14" s="8" t="s">
        <v>37</v>
      </c>
      <c r="D14" s="8" t="s">
        <v>28</v>
      </c>
      <c r="E14" s="9">
        <v>45682</v>
      </c>
    </row>
    <row r="15" spans="1:5" ht="16.5" x14ac:dyDescent="0.25">
      <c r="A15" s="7" cm="1">
        <f t="array" ref="A15">ROW(14:14)</f>
        <v>14</v>
      </c>
      <c r="B15" s="8" t="s">
        <v>38</v>
      </c>
      <c r="C15" s="8" t="s">
        <v>39</v>
      </c>
      <c r="D15" s="8" t="s">
        <v>12</v>
      </c>
      <c r="E15" s="9">
        <v>45721</v>
      </c>
    </row>
    <row r="16" spans="1:5" ht="16.5" x14ac:dyDescent="0.25">
      <c r="A16" s="7" cm="1">
        <f t="array" ref="A16">ROW(15:15)</f>
        <v>15</v>
      </c>
      <c r="B16" s="8" t="s">
        <v>40</v>
      </c>
      <c r="C16" s="8" t="s">
        <v>6</v>
      </c>
      <c r="D16" s="8" t="s">
        <v>7</v>
      </c>
      <c r="E16" s="9">
        <v>45708</v>
      </c>
    </row>
    <row r="17" spans="1:5" ht="16.5" x14ac:dyDescent="0.25">
      <c r="A17" s="7" cm="1">
        <f t="array" ref="A17">ROW(16:16)</f>
        <v>16</v>
      </c>
      <c r="B17" s="8" t="s">
        <v>41</v>
      </c>
      <c r="C17" s="8" t="s">
        <v>42</v>
      </c>
      <c r="D17" s="8" t="s">
        <v>43</v>
      </c>
      <c r="E17" s="9">
        <v>45669</v>
      </c>
    </row>
    <row r="18" spans="1:5" ht="16.5" x14ac:dyDescent="0.25">
      <c r="A18" s="7" cm="1">
        <f t="array" ref="A18">ROW(17:17)</f>
        <v>17</v>
      </c>
      <c r="B18" s="8" t="s">
        <v>44</v>
      </c>
      <c r="C18" s="8" t="s">
        <v>45</v>
      </c>
      <c r="D18" s="8" t="s">
        <v>46</v>
      </c>
      <c r="E18" s="9">
        <v>45716</v>
      </c>
    </row>
    <row r="19" spans="1:5" ht="16.5" x14ac:dyDescent="0.25">
      <c r="A19" s="7" cm="1">
        <f t="array" ref="A19">ROW(18:18)</f>
        <v>18</v>
      </c>
      <c r="B19" s="8" t="s">
        <v>47</v>
      </c>
      <c r="C19" s="8" t="s">
        <v>48</v>
      </c>
      <c r="D19" s="8" t="s">
        <v>25</v>
      </c>
      <c r="E19" s="9">
        <v>45675</v>
      </c>
    </row>
    <row r="20" spans="1:5" ht="16.5" x14ac:dyDescent="0.25">
      <c r="A20" s="7" cm="1">
        <f t="array" ref="A20">ROW(19:19)</f>
        <v>19</v>
      </c>
      <c r="B20" s="8" t="s">
        <v>49</v>
      </c>
      <c r="C20" s="8" t="s">
        <v>50</v>
      </c>
      <c r="D20" s="8" t="s">
        <v>51</v>
      </c>
      <c r="E20" s="9">
        <v>45597</v>
      </c>
    </row>
    <row r="21" spans="1:5" ht="16.5" x14ac:dyDescent="0.25">
      <c r="A21" s="7" cm="1">
        <f t="array" ref="A21">ROW(20:20)</f>
        <v>20</v>
      </c>
      <c r="B21" s="8" t="s">
        <v>52</v>
      </c>
      <c r="C21" s="8" t="s">
        <v>53</v>
      </c>
      <c r="D21" s="8" t="s">
        <v>12</v>
      </c>
      <c r="E21" s="9">
        <v>45726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1027-5BE5-4EF7-B895-10410870D7AE}">
  <sheetPr>
    <tabColor rgb="FFFF0000"/>
  </sheetPr>
  <dimension ref="A1:J31"/>
  <sheetViews>
    <sheetView workbookViewId="0">
      <selection activeCell="C15" sqref="C15"/>
    </sheetView>
  </sheetViews>
  <sheetFormatPr baseColWidth="10" defaultRowHeight="15" x14ac:dyDescent="0.25"/>
  <cols>
    <col min="1" max="1" width="8.7109375" customWidth="1"/>
    <col min="2" max="2" width="31.7109375" customWidth="1"/>
    <col min="3" max="3" width="18.28515625" customWidth="1"/>
    <col min="4" max="4" width="55.7109375" customWidth="1"/>
    <col min="6" max="6" width="18.85546875" customWidth="1"/>
    <col min="7" max="7" width="25" customWidth="1"/>
    <col min="8" max="8" width="21.7109375" customWidth="1"/>
    <col min="9" max="9" width="19.42578125" customWidth="1"/>
    <col min="10" max="10" width="27.7109375" customWidth="1"/>
  </cols>
  <sheetData>
    <row r="1" spans="1:10" x14ac:dyDescent="0.25">
      <c r="A1" s="10" t="s">
        <v>54</v>
      </c>
      <c r="B1" s="10" t="s">
        <v>55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</row>
    <row r="2" spans="1:10" x14ac:dyDescent="0.25">
      <c r="A2" s="11">
        <v>1</v>
      </c>
      <c r="B2" s="11" t="s">
        <v>64</v>
      </c>
      <c r="C2" s="11" t="s">
        <v>65</v>
      </c>
      <c r="D2" s="11" t="s">
        <v>66</v>
      </c>
      <c r="E2" s="11" t="s">
        <v>67</v>
      </c>
      <c r="F2" s="11">
        <v>3</v>
      </c>
      <c r="G2" s="11">
        <v>1</v>
      </c>
      <c r="H2" s="12">
        <v>46058</v>
      </c>
      <c r="I2" s="12">
        <v>46060</v>
      </c>
      <c r="J2" s="11" t="e">
        <f ca="1">IF(AND(TODAY() &gt; [1]HU!$I2, COUNTIFS([1]Avances_Diarios!$B$2:$B$36, [1]HU!$A2, [1]Avances_Diarios!$H$2:$H$36, 1) = 0), TODAY() - [1]HU!$I2, 0)</f>
        <v>#VALUE!</v>
      </c>
    </row>
    <row r="3" spans="1:10" x14ac:dyDescent="0.25">
      <c r="A3" s="11">
        <v>2</v>
      </c>
      <c r="B3" s="11" t="s">
        <v>64</v>
      </c>
      <c r="C3" s="11" t="s">
        <v>68</v>
      </c>
      <c r="D3" s="11" t="s">
        <v>69</v>
      </c>
      <c r="E3" s="11" t="s">
        <v>67</v>
      </c>
      <c r="F3" s="11">
        <v>5</v>
      </c>
      <c r="G3" s="11">
        <v>2</v>
      </c>
      <c r="H3" s="12">
        <v>46060</v>
      </c>
      <c r="I3" s="12">
        <v>46063</v>
      </c>
      <c r="J3" s="11" t="e">
        <f ca="1">IF(AND(TODAY() &gt; [1]HU!$I3, COUNTIFS([1]Avances_Diarios!$B$2:$B$36, [1]HU!$A3, [1]Avances_Diarios!$H$2:$H$36, 1) = 0), TODAY() - [1]HU!$I3, 0)</f>
        <v>#VALUE!</v>
      </c>
    </row>
    <row r="4" spans="1:10" x14ac:dyDescent="0.25">
      <c r="A4" s="11">
        <v>3</v>
      </c>
      <c r="B4" s="11" t="s">
        <v>64</v>
      </c>
      <c r="C4" s="11" t="s">
        <v>70</v>
      </c>
      <c r="D4" s="11" t="s">
        <v>71</v>
      </c>
      <c r="E4" s="11" t="s">
        <v>72</v>
      </c>
      <c r="F4" s="11">
        <v>3</v>
      </c>
      <c r="G4" s="11">
        <v>3</v>
      </c>
      <c r="H4" s="12">
        <v>46059</v>
      </c>
      <c r="I4" s="12">
        <v>46061</v>
      </c>
      <c r="J4" s="11" t="e">
        <f ca="1">IF(AND(TODAY() &gt; [1]HU!$I4, COUNTIFS([1]Avances_Diarios!$B$2:$B$36, [1]HU!$A4, [1]Avances_Diarios!$H$2:$H$36, 1) = 0), TODAY() - [1]HU!$I4, 0)</f>
        <v>#VALUE!</v>
      </c>
    </row>
    <row r="5" spans="1:10" x14ac:dyDescent="0.25">
      <c r="A5" s="11">
        <v>4</v>
      </c>
      <c r="B5" s="11" t="s">
        <v>64</v>
      </c>
      <c r="C5" s="11" t="s">
        <v>73</v>
      </c>
      <c r="D5" s="11" t="s">
        <v>74</v>
      </c>
      <c r="E5" s="11" t="s">
        <v>67</v>
      </c>
      <c r="F5" s="11">
        <v>7</v>
      </c>
      <c r="G5" s="11">
        <v>2</v>
      </c>
      <c r="H5" s="12">
        <v>46061</v>
      </c>
      <c r="I5" s="12">
        <v>46068</v>
      </c>
      <c r="J5" s="11" t="e">
        <f ca="1">IF(AND(TODAY() &gt; [1]HU!$I5, COUNTIFS([1]Avances_Diarios!$B$2:$B$36, [1]HU!$A5, [1]Avances_Diarios!$H$2:$H$36, 1) = 0), TODAY() - [1]HU!$I5, 0)</f>
        <v>#VALUE!</v>
      </c>
    </row>
    <row r="6" spans="1:10" x14ac:dyDescent="0.25">
      <c r="A6" s="11">
        <v>5</v>
      </c>
      <c r="B6" s="11" t="s">
        <v>75</v>
      </c>
      <c r="C6" s="11" t="s">
        <v>76</v>
      </c>
      <c r="D6" s="11" t="s">
        <v>77</v>
      </c>
      <c r="E6" s="11" t="s">
        <v>72</v>
      </c>
      <c r="F6" s="11">
        <v>5</v>
      </c>
      <c r="G6" s="11">
        <v>5</v>
      </c>
      <c r="H6" s="12">
        <v>46059</v>
      </c>
      <c r="I6" s="12">
        <v>46063</v>
      </c>
      <c r="J6" s="11" t="e">
        <f ca="1">IF(AND(TODAY() &gt; [1]HU!$I6, COUNTIFS([1]Avances_Diarios!$B$2:$B$36, [1]HU!$A6, [1]Avances_Diarios!$H$2:$H$36, 1) = 0), TODAY() - [1]HU!$I6, 0)</f>
        <v>#VALUE!</v>
      </c>
    </row>
    <row r="7" spans="1:10" x14ac:dyDescent="0.25">
      <c r="A7" s="11">
        <v>6</v>
      </c>
      <c r="B7" s="11" t="s">
        <v>75</v>
      </c>
      <c r="C7" s="11" t="s">
        <v>78</v>
      </c>
      <c r="D7" s="11" t="s">
        <v>79</v>
      </c>
      <c r="E7" s="11" t="s">
        <v>80</v>
      </c>
      <c r="F7" s="11">
        <v>2</v>
      </c>
      <c r="G7" s="11">
        <v>6</v>
      </c>
      <c r="H7" s="12">
        <v>46059</v>
      </c>
      <c r="I7" s="12">
        <v>46061</v>
      </c>
      <c r="J7" s="11" t="e">
        <f ca="1">IF(AND(TODAY() &gt; [1]HU!$I7, COUNTIFS([1]Avances_Diarios!$B$2:$B$36, [1]HU!$A7, [1]Avances_Diarios!$H$2:$H$36, 1) = 0), TODAY() - [1]HU!$I7, 0)</f>
        <v>#VALUE!</v>
      </c>
    </row>
    <row r="8" spans="1:10" x14ac:dyDescent="0.25">
      <c r="A8" s="11">
        <v>7</v>
      </c>
      <c r="B8" s="11" t="s">
        <v>75</v>
      </c>
      <c r="C8" s="11" t="s">
        <v>81</v>
      </c>
      <c r="D8" s="11" t="s">
        <v>82</v>
      </c>
      <c r="E8" s="11" t="s">
        <v>72</v>
      </c>
      <c r="F8" s="11">
        <v>3</v>
      </c>
      <c r="G8" s="11">
        <v>1</v>
      </c>
      <c r="H8" s="12">
        <v>46061</v>
      </c>
      <c r="I8" s="12">
        <v>46063</v>
      </c>
      <c r="J8" s="11" t="e">
        <f ca="1">IF(AND(TODAY() &gt; [1]HU!$I8, COUNTIFS([1]Avances_Diarios!$B$2:$B$36, [1]HU!$A8, [1]Avances_Diarios!$H$2:$H$36, 1) = 0), TODAY() - [1]HU!$I8, 0)</f>
        <v>#VALUE!</v>
      </c>
    </row>
    <row r="9" spans="1:10" x14ac:dyDescent="0.25">
      <c r="A9" s="11">
        <v>8</v>
      </c>
      <c r="B9" s="11" t="s">
        <v>75</v>
      </c>
      <c r="C9" s="11" t="s">
        <v>83</v>
      </c>
      <c r="D9" s="11" t="s">
        <v>84</v>
      </c>
      <c r="E9" s="11" t="s">
        <v>67</v>
      </c>
      <c r="F9" s="11">
        <v>5</v>
      </c>
      <c r="G9" s="11">
        <v>8</v>
      </c>
      <c r="H9" s="12">
        <v>46061</v>
      </c>
      <c r="I9" s="12">
        <v>46065</v>
      </c>
      <c r="J9" s="11" t="e">
        <f ca="1">IF(AND(TODAY() &gt; [1]HU!$I9, COUNTIFS([1]Avances_Diarios!$B$2:$B$36, [1]HU!$A9, [1]Avances_Diarios!$H$2:$H$36, 1) = 0), TODAY() - [1]HU!$I9, 0)</f>
        <v>#VALUE!</v>
      </c>
    </row>
    <row r="10" spans="1:10" x14ac:dyDescent="0.25">
      <c r="A10" s="11">
        <v>9</v>
      </c>
      <c r="B10" s="11" t="s">
        <v>75</v>
      </c>
      <c r="C10" s="11" t="s">
        <v>85</v>
      </c>
      <c r="D10" s="11" t="s">
        <v>86</v>
      </c>
      <c r="E10" s="11" t="s">
        <v>67</v>
      </c>
      <c r="F10" s="11">
        <v>8</v>
      </c>
      <c r="G10" s="11">
        <v>1</v>
      </c>
      <c r="H10" s="12">
        <v>46062</v>
      </c>
      <c r="I10" s="12">
        <v>46066</v>
      </c>
      <c r="J10" s="11" t="e">
        <f ca="1">IF(AND(TODAY() &gt; [1]HU!$I10, COUNTIFS([1]Avances_Diarios!$B$2:$B$36, [1]HU!$A10, [1]Avances_Diarios!$H$2:$H$36, 1) = 0), TODAY() - [1]HU!$I10, 0)</f>
        <v>#VALUE!</v>
      </c>
    </row>
    <row r="11" spans="1:10" x14ac:dyDescent="0.25">
      <c r="A11" s="11">
        <v>10</v>
      </c>
      <c r="B11" s="11" t="s">
        <v>75</v>
      </c>
      <c r="C11" s="11" t="s">
        <v>87</v>
      </c>
      <c r="D11" s="11" t="s">
        <v>88</v>
      </c>
      <c r="E11" s="11" t="s">
        <v>72</v>
      </c>
      <c r="F11" s="11">
        <v>3</v>
      </c>
      <c r="G11" s="11">
        <v>3</v>
      </c>
      <c r="H11" s="12">
        <v>46063</v>
      </c>
      <c r="I11" s="12">
        <v>46065</v>
      </c>
      <c r="J11" s="11" t="e">
        <f ca="1">IF(AND(TODAY() &gt; [1]HU!$I11, COUNTIFS([1]Avances_Diarios!$B$2:$B$36, [1]HU!$A11, [1]Avances_Diarios!$H$2:$H$36, 1) = 0), TODAY() - [1]HU!$I11, 0)</f>
        <v>#VALUE!</v>
      </c>
    </row>
    <row r="12" spans="1:10" x14ac:dyDescent="0.25">
      <c r="A12" s="11">
        <v>11</v>
      </c>
      <c r="B12" s="11" t="s">
        <v>89</v>
      </c>
      <c r="C12" s="11" t="s">
        <v>90</v>
      </c>
      <c r="D12" s="11" t="s">
        <v>91</v>
      </c>
      <c r="E12" s="11" t="s">
        <v>67</v>
      </c>
      <c r="F12" s="11">
        <v>5</v>
      </c>
      <c r="G12" s="11">
        <v>11</v>
      </c>
      <c r="H12" s="12">
        <v>46064</v>
      </c>
      <c r="I12" s="12">
        <v>46069</v>
      </c>
      <c r="J12" s="11" t="e">
        <f ca="1">IF(AND(TODAY() &gt; [1]HU!$I12, COUNTIFS([1]Avances_Diarios!$B$2:$B$36, [1]HU!$A12, [1]Avances_Diarios!$H$2:$H$36, 1) = 0), TODAY() - [1]HU!$I12, 0)</f>
        <v>#VALUE!</v>
      </c>
    </row>
    <row r="13" spans="1:10" x14ac:dyDescent="0.25">
      <c r="A13" s="11">
        <v>12</v>
      </c>
      <c r="B13" s="11" t="s">
        <v>89</v>
      </c>
      <c r="C13" s="11" t="s">
        <v>92</v>
      </c>
      <c r="D13" s="11" t="s">
        <v>79</v>
      </c>
      <c r="E13" s="11" t="s">
        <v>80</v>
      </c>
      <c r="F13" s="11">
        <v>2</v>
      </c>
      <c r="G13" s="11">
        <v>6</v>
      </c>
      <c r="H13" s="12">
        <v>46065</v>
      </c>
      <c r="I13" s="12">
        <v>46067</v>
      </c>
      <c r="J13" s="11" t="e">
        <f ca="1">IF(AND(TODAY() &gt; [1]HU!$I13, COUNTIFS([1]Avances_Diarios!$B$2:$B$36, [1]HU!$A13, [1]Avances_Diarios!$H$2:$H$36, 1) = 0), TODAY() - [1]HU!$I13, 0)</f>
        <v>#VALUE!</v>
      </c>
    </row>
    <row r="14" spans="1:10" x14ac:dyDescent="0.25">
      <c r="A14" s="11">
        <v>13</v>
      </c>
      <c r="B14" s="11" t="s">
        <v>89</v>
      </c>
      <c r="C14" s="11" t="s">
        <v>93</v>
      </c>
      <c r="D14" s="11" t="s">
        <v>82</v>
      </c>
      <c r="E14" s="11" t="s">
        <v>72</v>
      </c>
      <c r="F14" s="11">
        <v>3</v>
      </c>
      <c r="G14" s="11">
        <v>1</v>
      </c>
      <c r="H14" s="12">
        <v>46065</v>
      </c>
      <c r="I14" s="12">
        <v>46067</v>
      </c>
      <c r="J14" s="11" t="e">
        <f ca="1">IF(AND(TODAY() &gt; [1]HU!$I14, COUNTIFS([1]Avances_Diarios!$B$2:$B$36, [1]HU!$A14, [1]Avances_Diarios!$H$2:$H$36, 1) = 0), TODAY() - [1]HU!$I14, 0)</f>
        <v>#VALUE!</v>
      </c>
    </row>
    <row r="15" spans="1:10" x14ac:dyDescent="0.25">
      <c r="A15" s="11">
        <v>14</v>
      </c>
      <c r="B15" s="11" t="s">
        <v>89</v>
      </c>
      <c r="C15" s="11" t="s">
        <v>94</v>
      </c>
      <c r="D15" s="11" t="s">
        <v>95</v>
      </c>
      <c r="E15" s="11" t="s">
        <v>67</v>
      </c>
      <c r="F15" s="11">
        <v>5</v>
      </c>
      <c r="G15" s="11">
        <v>3</v>
      </c>
      <c r="H15" s="12">
        <v>46066</v>
      </c>
      <c r="I15" s="12">
        <v>46070</v>
      </c>
      <c r="J15" s="11" t="e">
        <f ca="1">IF(AND(TODAY() &gt; [1]HU!$I15, COUNTIFS([1]Avances_Diarios!$B$2:$B$36, [1]HU!$A15, [1]Avances_Diarios!$H$2:$H$36, 1) = 0), TODAY() - [1]HU!$I15, 0)</f>
        <v>#VALUE!</v>
      </c>
    </row>
    <row r="16" spans="1:10" x14ac:dyDescent="0.25">
      <c r="A16" s="11">
        <v>15</v>
      </c>
      <c r="B16" s="11" t="s">
        <v>89</v>
      </c>
      <c r="C16" s="11" t="s">
        <v>96</v>
      </c>
      <c r="D16" s="11" t="s">
        <v>97</v>
      </c>
      <c r="E16" s="11" t="s">
        <v>72</v>
      </c>
      <c r="F16" s="11">
        <v>3</v>
      </c>
      <c r="G16" s="11">
        <v>3</v>
      </c>
      <c r="H16" s="12">
        <v>46068</v>
      </c>
      <c r="I16" s="12">
        <v>46071</v>
      </c>
      <c r="J16" s="11" t="e">
        <f ca="1">IF(AND(TODAY() &gt; [1]HU!$I16, COUNTIFS([1]Avances_Diarios!$B$2:$B$36, [1]HU!$A16, [1]Avances_Diarios!$H$2:$H$36, 1) = 0), TODAY() - [1]HU!$I16, 0)</f>
        <v>#VALUE!</v>
      </c>
    </row>
    <row r="17" spans="1:10" x14ac:dyDescent="0.25">
      <c r="A17" s="11">
        <v>16</v>
      </c>
      <c r="B17" s="11" t="s">
        <v>89</v>
      </c>
      <c r="C17" s="11" t="s">
        <v>98</v>
      </c>
      <c r="D17" s="11" t="s">
        <v>99</v>
      </c>
      <c r="E17" s="11" t="s">
        <v>67</v>
      </c>
      <c r="F17" s="11">
        <v>4</v>
      </c>
      <c r="G17" s="11">
        <v>11</v>
      </c>
      <c r="H17" s="12">
        <v>46066</v>
      </c>
      <c r="I17" s="12">
        <v>46070</v>
      </c>
      <c r="J17" s="11" t="e">
        <f ca="1">IF(AND(TODAY() &gt; [1]HU!$I17, COUNTIFS([1]Avances_Diarios!$B$2:$B$36, [1]HU!$A17, [1]Avances_Diarios!$H$2:$H$36, 1) = 0), TODAY() - [1]HU!$I17, 0)</f>
        <v>#VALUE!</v>
      </c>
    </row>
    <row r="18" spans="1:10" x14ac:dyDescent="0.25">
      <c r="A18" s="11">
        <v>17</v>
      </c>
      <c r="B18" s="11" t="s">
        <v>89</v>
      </c>
      <c r="C18" s="11" t="s">
        <v>100</v>
      </c>
      <c r="D18" s="11" t="s">
        <v>101</v>
      </c>
      <c r="E18" s="11" t="s">
        <v>80</v>
      </c>
      <c r="F18" s="11">
        <v>2</v>
      </c>
      <c r="G18" s="11">
        <v>1</v>
      </c>
      <c r="H18" s="12">
        <v>46067</v>
      </c>
      <c r="I18" s="12">
        <v>46069</v>
      </c>
      <c r="J18" s="11" t="e">
        <f ca="1">IF(AND(TODAY() &gt; [1]HU!$I18, COUNTIFS([1]Avances_Diarios!$B$2:$B$36, [1]HU!$A18, [1]Avances_Diarios!$H$2:$H$36, 1) = 0), TODAY() - [1]HU!$I18, 0)</f>
        <v>#VALUE!</v>
      </c>
    </row>
    <row r="19" spans="1:10" x14ac:dyDescent="0.25">
      <c r="A19" s="11">
        <v>18</v>
      </c>
      <c r="B19" s="11" t="s">
        <v>89</v>
      </c>
      <c r="C19" s="11" t="s">
        <v>102</v>
      </c>
      <c r="D19" s="11" t="s">
        <v>103</v>
      </c>
      <c r="E19" s="11" t="s">
        <v>72</v>
      </c>
      <c r="F19" s="11">
        <v>5</v>
      </c>
      <c r="G19" s="11">
        <v>2</v>
      </c>
      <c r="H19" s="12">
        <v>46068</v>
      </c>
      <c r="I19" s="12">
        <v>46072</v>
      </c>
      <c r="J19" s="11" t="e">
        <f ca="1">IF(AND(TODAY() &gt; [1]HU!$I19, COUNTIFS([1]Avances_Diarios!$B$2:$B$36, [1]HU!$A19, [1]Avances_Diarios!$H$2:$H$36, 1) = 0), TODAY() - [1]HU!$I19, 0)</f>
        <v>#VALUE!</v>
      </c>
    </row>
    <row r="20" spans="1:10" x14ac:dyDescent="0.25">
      <c r="A20" s="11">
        <v>19</v>
      </c>
      <c r="B20" s="11" t="s">
        <v>89</v>
      </c>
      <c r="C20" s="11" t="s">
        <v>104</v>
      </c>
      <c r="D20" s="11" t="s">
        <v>105</v>
      </c>
      <c r="E20" s="11" t="s">
        <v>67</v>
      </c>
      <c r="F20" s="11">
        <v>6</v>
      </c>
      <c r="G20" s="11">
        <v>3</v>
      </c>
      <c r="H20" s="12">
        <v>46069</v>
      </c>
      <c r="I20" s="12">
        <v>46073</v>
      </c>
      <c r="J20" s="11" t="e">
        <f ca="1">IF(AND(TODAY() &gt; [1]HU!$I20, COUNTIFS([1]Avances_Diarios!$B$2:$B$36, [1]HU!$A20, [1]Avances_Diarios!$H$2:$H$36, 1) = 0), TODAY() - [1]HU!$I20, 0)</f>
        <v>#VALUE!</v>
      </c>
    </row>
    <row r="21" spans="1:10" x14ac:dyDescent="0.25">
      <c r="A21" s="11">
        <v>20</v>
      </c>
      <c r="B21" s="11" t="s">
        <v>89</v>
      </c>
      <c r="C21" s="11" t="s">
        <v>106</v>
      </c>
      <c r="D21" s="11" t="s">
        <v>107</v>
      </c>
      <c r="E21" s="11" t="s">
        <v>72</v>
      </c>
      <c r="F21" s="11">
        <v>3</v>
      </c>
      <c r="G21" s="11">
        <v>4</v>
      </c>
      <c r="H21" s="12">
        <v>46070</v>
      </c>
      <c r="I21" s="12">
        <v>46073</v>
      </c>
      <c r="J21" s="11" t="e">
        <f ca="1">IF(AND(TODAY() &gt; [1]HU!$I21, COUNTIFS([1]Avances_Diarios!$B$2:$B$36, [1]HU!$A21, [1]Avances_Diarios!$H$2:$H$36, 1) = 0), TODAY() - [1]HU!$I21, 0)</f>
        <v>#VALUE!</v>
      </c>
    </row>
    <row r="22" spans="1:10" x14ac:dyDescent="0.25">
      <c r="A22" s="11">
        <v>21</v>
      </c>
      <c r="B22" s="11" t="s">
        <v>89</v>
      </c>
      <c r="C22" s="11" t="s">
        <v>108</v>
      </c>
      <c r="D22" s="11" t="s">
        <v>109</v>
      </c>
      <c r="E22" s="11" t="s">
        <v>80</v>
      </c>
      <c r="F22" s="11">
        <v>4</v>
      </c>
      <c r="G22" s="11">
        <v>5</v>
      </c>
      <c r="H22" s="12">
        <v>46070</v>
      </c>
      <c r="I22" s="12">
        <v>46073</v>
      </c>
      <c r="J22" s="11" t="e">
        <f ca="1">IF(AND(TODAY() &gt; [1]HU!$I22, COUNTIFS([1]Avances_Diarios!$B$2:$B$36, [1]HU!$A22, [1]Avances_Diarios!$H$2:$H$36, 1) = 0), TODAY() - [1]HU!$I22, 0)</f>
        <v>#VALUE!</v>
      </c>
    </row>
    <row r="23" spans="1:10" x14ac:dyDescent="0.25">
      <c r="A23" s="11">
        <v>22</v>
      </c>
      <c r="B23" s="11" t="s">
        <v>110</v>
      </c>
      <c r="C23" s="11" t="s">
        <v>111</v>
      </c>
      <c r="D23" s="11" t="s">
        <v>112</v>
      </c>
      <c r="E23" s="11" t="s">
        <v>67</v>
      </c>
      <c r="F23" s="11">
        <v>5</v>
      </c>
      <c r="G23" s="11">
        <v>1</v>
      </c>
      <c r="H23" s="12">
        <v>46068</v>
      </c>
      <c r="I23" s="12">
        <v>46071</v>
      </c>
      <c r="J23" s="11" t="e">
        <f ca="1">IF(AND(TODAY() &gt; [1]HU!$I23, COUNTIFS([1]Avances_Diarios!$B$2:$B$36, [1]HU!$A23, [1]Avances_Diarios!$H$2:$H$36, 1) = 0), TODAY() - [1]HU!$I23, 0)</f>
        <v>#VALUE!</v>
      </c>
    </row>
    <row r="24" spans="1:10" x14ac:dyDescent="0.25">
      <c r="A24" s="11">
        <v>23</v>
      </c>
      <c r="B24" s="11" t="s">
        <v>110</v>
      </c>
      <c r="C24" s="11" t="s">
        <v>113</v>
      </c>
      <c r="D24" s="11" t="s">
        <v>79</v>
      </c>
      <c r="E24" s="11" t="s">
        <v>72</v>
      </c>
      <c r="F24" s="11">
        <v>2</v>
      </c>
      <c r="G24" s="11">
        <v>6</v>
      </c>
      <c r="H24" s="12">
        <v>46069</v>
      </c>
      <c r="I24" s="12">
        <v>46071</v>
      </c>
      <c r="J24" s="11" t="e">
        <f ca="1">IF(AND(TODAY() &gt; [1]HU!$I24, COUNTIFS([1]Avances_Diarios!$B$2:$B$36, [1]HU!$A24, [1]Avances_Diarios!$H$2:$H$36, 1) = 0), TODAY() - [1]HU!$I24, 0)</f>
        <v>#VALUE!</v>
      </c>
    </row>
    <row r="25" spans="1:10" x14ac:dyDescent="0.25">
      <c r="A25" s="11">
        <v>24</v>
      </c>
      <c r="B25" s="11" t="s">
        <v>110</v>
      </c>
      <c r="C25" s="11" t="s">
        <v>114</v>
      </c>
      <c r="D25" s="11" t="s">
        <v>82</v>
      </c>
      <c r="E25" s="11" t="s">
        <v>67</v>
      </c>
      <c r="F25" s="11">
        <v>3</v>
      </c>
      <c r="G25" s="11">
        <v>1</v>
      </c>
      <c r="H25" s="12">
        <v>46069</v>
      </c>
      <c r="I25" s="12">
        <v>46071</v>
      </c>
      <c r="J25" s="11" t="e">
        <f ca="1">IF(AND(TODAY() &gt; [1]HU!$I25, COUNTIFS([1]Avances_Diarios!$B$2:$B$36, [1]HU!$A25, [1]Avances_Diarios!$H$2:$H$36, 1) = 0), TODAY() - [1]HU!$I25, 0)</f>
        <v>#VALUE!</v>
      </c>
    </row>
    <row r="26" spans="1:10" x14ac:dyDescent="0.25">
      <c r="A26" s="11">
        <v>25</v>
      </c>
      <c r="B26" s="11" t="s">
        <v>110</v>
      </c>
      <c r="C26" s="11" t="s">
        <v>115</v>
      </c>
      <c r="D26" s="11" t="s">
        <v>116</v>
      </c>
      <c r="E26" s="11" t="s">
        <v>67</v>
      </c>
      <c r="F26" s="11">
        <v>5</v>
      </c>
      <c r="G26" s="11">
        <v>3</v>
      </c>
      <c r="H26" s="12">
        <v>46070</v>
      </c>
      <c r="I26" s="12">
        <v>46073</v>
      </c>
      <c r="J26" s="11" t="e">
        <f ca="1">IF(AND(TODAY() &gt; [1]HU!$I26, COUNTIFS([1]Avances_Diarios!$B$2:$B$36, [1]HU!$A26, [1]Avances_Diarios!$H$2:$H$36, 1) = 0), TODAY() - [1]HU!$I26, 0)</f>
        <v>#VALUE!</v>
      </c>
    </row>
    <row r="27" spans="1:10" x14ac:dyDescent="0.25">
      <c r="A27" s="11">
        <v>26</v>
      </c>
      <c r="B27" s="11" t="s">
        <v>110</v>
      </c>
      <c r="C27" s="11" t="s">
        <v>117</v>
      </c>
      <c r="D27" s="11" t="s">
        <v>118</v>
      </c>
      <c r="E27" s="11" t="s">
        <v>72</v>
      </c>
      <c r="F27" s="11">
        <v>4</v>
      </c>
      <c r="G27" s="11">
        <v>3</v>
      </c>
      <c r="H27" s="12">
        <v>46071</v>
      </c>
      <c r="I27" s="12">
        <v>46074</v>
      </c>
      <c r="J27" s="11" t="e">
        <f ca="1">IF(AND(TODAY() &gt; [1]HU!$I27, COUNTIFS([1]Avances_Diarios!$B$2:$B$36, [1]HU!$A27, [1]Avances_Diarios!$H$2:$H$36, 1) = 0), TODAY() - [1]HU!$I27, 0)</f>
        <v>#VALUE!</v>
      </c>
    </row>
    <row r="28" spans="1:10" x14ac:dyDescent="0.25">
      <c r="A28" s="11">
        <v>27</v>
      </c>
      <c r="B28" s="11" t="s">
        <v>110</v>
      </c>
      <c r="C28" s="11" t="s">
        <v>119</v>
      </c>
      <c r="D28" s="11" t="s">
        <v>120</v>
      </c>
      <c r="E28" s="11" t="s">
        <v>80</v>
      </c>
      <c r="F28" s="11">
        <v>3</v>
      </c>
      <c r="G28" s="11">
        <v>11</v>
      </c>
      <c r="H28" s="12">
        <v>46071</v>
      </c>
      <c r="I28" s="12">
        <v>46074</v>
      </c>
      <c r="J28" s="11" t="e">
        <f ca="1">IF(AND(TODAY() &gt; [1]HU!$I28, COUNTIFS([1]Avances_Diarios!$B$2:$B$36, [1]HU!$A28, [1]Avances_Diarios!$H$2:$H$36, 1) = 0), TODAY() - [1]HU!$I28, 0)</f>
        <v>#VALUE!</v>
      </c>
    </row>
    <row r="29" spans="1:10" x14ac:dyDescent="0.25">
      <c r="A29" s="11">
        <v>28</v>
      </c>
      <c r="B29" s="11" t="s">
        <v>121</v>
      </c>
      <c r="C29" s="11" t="s">
        <v>122</v>
      </c>
      <c r="D29" s="11" t="s">
        <v>123</v>
      </c>
      <c r="E29" s="11" t="s">
        <v>67</v>
      </c>
      <c r="F29" s="11">
        <v>5</v>
      </c>
      <c r="G29" s="11">
        <v>8</v>
      </c>
      <c r="H29" s="12">
        <v>46070</v>
      </c>
      <c r="I29" s="12">
        <v>46074</v>
      </c>
      <c r="J29" s="11" t="e">
        <f ca="1">IF(AND(TODAY() &gt; [1]HU!$I29, COUNTIFS([1]Avances_Diarios!$B$2:$B$36, [1]HU!$A29, [1]Avances_Diarios!$H$2:$H$36, 1) = 0), TODAY() - [1]HU!$I29, 0)</f>
        <v>#VALUE!</v>
      </c>
    </row>
    <row r="30" spans="1:10" x14ac:dyDescent="0.25">
      <c r="A30" s="11">
        <v>29</v>
      </c>
      <c r="B30" s="11" t="s">
        <v>121</v>
      </c>
      <c r="C30" s="11" t="s">
        <v>124</v>
      </c>
      <c r="D30" s="11" t="s">
        <v>125</v>
      </c>
      <c r="E30" s="11" t="s">
        <v>72</v>
      </c>
      <c r="F30" s="11">
        <v>4</v>
      </c>
      <c r="G30" s="11">
        <v>8</v>
      </c>
      <c r="H30" s="12">
        <v>46071</v>
      </c>
      <c r="I30" s="12">
        <v>46075</v>
      </c>
      <c r="J30" s="11" t="e">
        <f ca="1">IF(AND(TODAY() &gt; [1]HU!$I30, COUNTIFS([1]Avances_Diarios!$B$2:$B$36, [1]HU!$A30, [1]Avances_Diarios!$H$2:$H$36, 1) = 0), TODAY() - [1]HU!$I30, 0)</f>
        <v>#VALUE!</v>
      </c>
    </row>
    <row r="31" spans="1:10" x14ac:dyDescent="0.25">
      <c r="A31" s="11">
        <v>30</v>
      </c>
      <c r="B31" s="11" t="s">
        <v>121</v>
      </c>
      <c r="C31" s="11" t="s">
        <v>126</v>
      </c>
      <c r="D31" s="11" t="s">
        <v>127</v>
      </c>
      <c r="E31" s="11" t="s">
        <v>80</v>
      </c>
      <c r="F31" s="11">
        <v>3</v>
      </c>
      <c r="G31" s="11">
        <v>8</v>
      </c>
      <c r="H31" s="12">
        <v>46072</v>
      </c>
      <c r="I31" s="12">
        <v>46076</v>
      </c>
      <c r="J31" s="11" t="e">
        <f ca="1">IF(AND(TODAY() &gt; [1]HU!$I31, COUNTIFS([1]Avances_Diarios!$B$2:$B$36, [1]HU!$A31, [1]Avances_Diarios!$H$2:$H$36, 1) = 0), TODAY() - [1]HU!$I31, 0)</f>
        <v>#VALUE!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0B28-89AC-448C-9187-A84C8B17CD08}">
  <sheetPr>
    <tabColor rgb="FFFF0000"/>
  </sheetPr>
  <dimension ref="A1:I34"/>
  <sheetViews>
    <sheetView workbookViewId="0">
      <selection activeCell="D12" sqref="D12"/>
    </sheetView>
  </sheetViews>
  <sheetFormatPr baseColWidth="10" defaultRowHeight="15" x14ac:dyDescent="0.25"/>
  <cols>
    <col min="1" max="1" width="11.5703125" customWidth="1"/>
    <col min="3" max="3" width="16.28515625" customWidth="1"/>
    <col min="4" max="5" width="17.85546875" customWidth="1"/>
    <col min="6" max="6" width="16.7109375" customWidth="1"/>
    <col min="7" max="7" width="36.42578125" customWidth="1"/>
    <col min="8" max="8" width="16.28515625" customWidth="1"/>
    <col min="9" max="9" width="25.140625" customWidth="1"/>
  </cols>
  <sheetData>
    <row r="1" spans="1:9" x14ac:dyDescent="0.25">
      <c r="A1" s="13" t="s">
        <v>128</v>
      </c>
      <c r="B1" s="13" t="s">
        <v>54</v>
      </c>
      <c r="C1" s="13" t="s">
        <v>129</v>
      </c>
      <c r="D1" s="13" t="s">
        <v>130</v>
      </c>
      <c r="E1" s="13" t="s">
        <v>131</v>
      </c>
      <c r="F1" s="13" t="s">
        <v>132</v>
      </c>
      <c r="G1" s="13" t="s">
        <v>133</v>
      </c>
      <c r="H1" s="14" t="s">
        <v>134</v>
      </c>
      <c r="I1" s="13" t="s">
        <v>140</v>
      </c>
    </row>
    <row r="2" spans="1:9" x14ac:dyDescent="0.25">
      <c r="A2" s="15">
        <v>1</v>
      </c>
      <c r="B2" s="15">
        <v>1</v>
      </c>
      <c r="C2" s="15">
        <v>1</v>
      </c>
      <c r="D2" s="16">
        <v>45964</v>
      </c>
      <c r="E2" s="15">
        <v>2</v>
      </c>
      <c r="F2" s="15" t="s">
        <v>135</v>
      </c>
      <c r="G2" s="15" t="s">
        <v>141</v>
      </c>
      <c r="H2" s="17">
        <f>IF(AND(F2="Completada", COUNTIF($B$2:B2, B2) = COUNTIF($B$2:$B$1016, B2)), 1, 0)</f>
        <v>1</v>
      </c>
      <c r="I2" s="18" t="str">
        <f>VLOOKUP([1]Avances_Diarios!$C2, [1]!tColaboradores[#Data], 3, 0)</f>
        <v>Desarrollador Frontend</v>
      </c>
    </row>
    <row r="3" spans="1:9" x14ac:dyDescent="0.25">
      <c r="A3" s="19">
        <v>2</v>
      </c>
      <c r="B3" s="19">
        <v>3</v>
      </c>
      <c r="C3" s="19">
        <v>3</v>
      </c>
      <c r="D3" s="20">
        <v>45962</v>
      </c>
      <c r="E3" s="19">
        <v>3</v>
      </c>
      <c r="F3" s="19" t="s">
        <v>135</v>
      </c>
      <c r="G3" s="19" t="s">
        <v>142</v>
      </c>
      <c r="H3" s="21">
        <f>IF(AND(F3="Completada", COUNTIF($B$2:B3, B3) = COUNTIF($B$2:$B$1016, B3)), 1, 0)</f>
        <v>1</v>
      </c>
      <c r="I3" s="22" t="str">
        <f>VLOOKUP([1]Avances_Diarios!$C3, [1]!tColaboradores[#Data], 3, 0)</f>
        <v>Desarrolladora Backend</v>
      </c>
    </row>
    <row r="4" spans="1:9" x14ac:dyDescent="0.25">
      <c r="A4" s="15">
        <v>3</v>
      </c>
      <c r="B4" s="15">
        <v>5</v>
      </c>
      <c r="C4" s="15">
        <v>5</v>
      </c>
      <c r="D4" s="16">
        <v>45965</v>
      </c>
      <c r="E4" s="15">
        <v>4</v>
      </c>
      <c r="F4" s="15" t="s">
        <v>135</v>
      </c>
      <c r="G4" s="15" t="s">
        <v>143</v>
      </c>
      <c r="H4" s="17">
        <f>IF(AND(F4="Completada", COUNTIF($B$2:B4, B4) = COUNTIF($B$2:$B$1016, B4)), 1, 0)</f>
        <v>1</v>
      </c>
      <c r="I4" s="18" t="str">
        <f>VLOOKUP([1]Avances_Diarios!$C4, [1]!tColaboradores[#Data], 3, 0)</f>
        <v>Diseñador UI/UX</v>
      </c>
    </row>
    <row r="5" spans="1:9" x14ac:dyDescent="0.25">
      <c r="A5" s="19">
        <v>4</v>
      </c>
      <c r="B5" s="19">
        <v>6</v>
      </c>
      <c r="C5" s="19">
        <v>6</v>
      </c>
      <c r="D5" s="20">
        <v>45964</v>
      </c>
      <c r="E5" s="19">
        <v>2</v>
      </c>
      <c r="F5" s="19" t="s">
        <v>135</v>
      </c>
      <c r="G5" s="19" t="s">
        <v>144</v>
      </c>
      <c r="H5" s="21">
        <f>IF(AND(F5="Completada", COUNTIF($B$2:B5, B5) = COUNTIF($B$2:$B$1016, B5)), 1, 0)</f>
        <v>1</v>
      </c>
      <c r="I5" s="22" t="str">
        <f>VLOOKUP([1]Avances_Diarios!$C5, [1]!tColaboradores[#Data], 3, 0)</f>
        <v>Desarrolladora Backend</v>
      </c>
    </row>
    <row r="6" spans="1:9" x14ac:dyDescent="0.25">
      <c r="A6" s="15">
        <v>5</v>
      </c>
      <c r="B6" s="15">
        <v>7</v>
      </c>
      <c r="C6" s="15">
        <v>7</v>
      </c>
      <c r="D6" s="16">
        <v>45966</v>
      </c>
      <c r="E6" s="15">
        <v>2</v>
      </c>
      <c r="F6" s="15" t="s">
        <v>135</v>
      </c>
      <c r="G6" s="15" t="s">
        <v>145</v>
      </c>
      <c r="H6" s="17">
        <f>IF(AND(F6="Completada", COUNTIF($B$2:B6, B6) = COUNTIF($B$2:$B$1016, B6)), 1, 0)</f>
        <v>1</v>
      </c>
      <c r="I6" s="18" t="str">
        <f>VLOOKUP([1]Avances_Diarios!$C6, [1]!tColaboradores[#Data], 3, 0)</f>
        <v>QA Tester</v>
      </c>
    </row>
    <row r="7" spans="1:9" x14ac:dyDescent="0.25">
      <c r="A7" s="19">
        <v>6</v>
      </c>
      <c r="B7" s="19">
        <v>9</v>
      </c>
      <c r="C7" s="19">
        <v>9</v>
      </c>
      <c r="D7" s="20">
        <v>45966</v>
      </c>
      <c r="E7" s="19">
        <v>5</v>
      </c>
      <c r="F7" s="19" t="s">
        <v>135</v>
      </c>
      <c r="G7" s="19" t="s">
        <v>146</v>
      </c>
      <c r="H7" s="21">
        <f>IF(AND(F7="Completada", COUNTIF($B$2:B7, B7) = COUNTIF($B$2:$B$1016, B7)), 1, 0)</f>
        <v>1</v>
      </c>
      <c r="I7" s="22" t="str">
        <f>VLOOKUP([1]Avances_Diarios!$C7, [1]!tColaboradores[#Data], 3, 0)</f>
        <v>Líder Técnico</v>
      </c>
    </row>
    <row r="8" spans="1:9" x14ac:dyDescent="0.25">
      <c r="A8" s="15">
        <v>7</v>
      </c>
      <c r="B8" s="15">
        <v>12</v>
      </c>
      <c r="C8" s="15">
        <v>12</v>
      </c>
      <c r="D8" s="16">
        <v>45967</v>
      </c>
      <c r="E8" s="15">
        <v>2</v>
      </c>
      <c r="F8" s="15" t="s">
        <v>135</v>
      </c>
      <c r="G8" s="15" t="s">
        <v>147</v>
      </c>
      <c r="H8" s="17">
        <f>IF(AND(F8="Completada", COUNTIF($B$2:B8, B8) = COUNTIF($B$2:$B$1016, B8)), 1, 0)</f>
        <v>1</v>
      </c>
      <c r="I8" s="18" t="str">
        <f>VLOOKUP([1]Avances_Diarios!$C8, [1]!tColaboradores[#Data], 3, 0)</f>
        <v>Scrum Master</v>
      </c>
    </row>
    <row r="9" spans="1:9" x14ac:dyDescent="0.25">
      <c r="A9" s="19">
        <v>8</v>
      </c>
      <c r="B9" s="19">
        <v>15</v>
      </c>
      <c r="C9" s="19">
        <v>15</v>
      </c>
      <c r="D9" s="20">
        <v>45969</v>
      </c>
      <c r="E9" s="19">
        <v>3</v>
      </c>
      <c r="F9" s="19" t="s">
        <v>135</v>
      </c>
      <c r="G9" s="19" t="s">
        <v>148</v>
      </c>
      <c r="H9" s="21">
        <f>IF(AND(F9="Completada", COUNTIF($B$2:B9, B9) = COUNTIF($B$2:$B$1016, B9)), 1, 0)</f>
        <v>1</v>
      </c>
      <c r="I9" s="22" t="str">
        <f>VLOOKUP([1]Avances_Diarios!$C9, [1]!tColaboradores[#Data], 3, 0)</f>
        <v>Desarrollador Frontend</v>
      </c>
    </row>
    <row r="10" spans="1:9" x14ac:dyDescent="0.25">
      <c r="A10" s="15">
        <v>9</v>
      </c>
      <c r="B10" s="15">
        <v>16</v>
      </c>
      <c r="C10" s="15">
        <v>16</v>
      </c>
      <c r="D10" s="16">
        <v>45969</v>
      </c>
      <c r="E10" s="15">
        <v>4</v>
      </c>
      <c r="F10" s="15" t="s">
        <v>135</v>
      </c>
      <c r="G10" s="15" t="s">
        <v>149</v>
      </c>
      <c r="H10" s="17">
        <f>IF(AND(F10="Completada", COUNTIF($B$2:B10, B10) = COUNTIF($B$2:$B$1016, B10)), 1, 0)</f>
        <v>1</v>
      </c>
      <c r="I10" s="18" t="str">
        <f>VLOOKUP([1]Avances_Diarios!$C10, [1]!tColaboradores[#Data], 3, 0)</f>
        <v>Analista Funcional</v>
      </c>
    </row>
    <row r="11" spans="1:9" x14ac:dyDescent="0.25">
      <c r="A11" s="19">
        <v>10</v>
      </c>
      <c r="B11" s="19">
        <v>17</v>
      </c>
      <c r="C11" s="19">
        <v>1</v>
      </c>
      <c r="D11" s="20">
        <v>45970</v>
      </c>
      <c r="E11" s="19">
        <v>2</v>
      </c>
      <c r="F11" s="19" t="s">
        <v>135</v>
      </c>
      <c r="G11" s="19" t="s">
        <v>150</v>
      </c>
      <c r="H11" s="21">
        <f>IF(AND(F11="Completada", COUNTIF($B$2:B11, B11) = COUNTIF($B$2:$B$1016, B11)), 1, 0)</f>
        <v>1</v>
      </c>
      <c r="I11" s="22" t="str">
        <f>VLOOKUP([1]Avances_Diarios!$C11, [1]!tColaboradores[#Data], 3, 0)</f>
        <v>QA Tester</v>
      </c>
    </row>
    <row r="12" spans="1:9" x14ac:dyDescent="0.25">
      <c r="A12" s="15">
        <v>11</v>
      </c>
      <c r="B12" s="15">
        <v>22</v>
      </c>
      <c r="C12" s="15">
        <v>6</v>
      </c>
      <c r="D12" s="16">
        <v>45972</v>
      </c>
      <c r="E12" s="15">
        <v>4</v>
      </c>
      <c r="F12" s="15" t="s">
        <v>135</v>
      </c>
      <c r="G12" s="15" t="s">
        <v>151</v>
      </c>
      <c r="H12" s="17">
        <f>IF(AND(F12="Completada", COUNTIF($B$2:B12, B12) = COUNTIF($B$2:$B$1016, B12)), 1, 0)</f>
        <v>1</v>
      </c>
      <c r="I12" s="18" t="str">
        <f>VLOOKUP([1]Avances_Diarios!$C12, [1]!tColaboradores[#Data], 3, 0)</f>
        <v>Desarrollador Frontend</v>
      </c>
    </row>
    <row r="13" spans="1:9" x14ac:dyDescent="0.25">
      <c r="A13" s="19">
        <v>12</v>
      </c>
      <c r="B13" s="19">
        <v>23</v>
      </c>
      <c r="C13" s="19">
        <v>7</v>
      </c>
      <c r="D13" s="20">
        <v>45973</v>
      </c>
      <c r="E13" s="19">
        <v>2</v>
      </c>
      <c r="F13" s="19" t="s">
        <v>135</v>
      </c>
      <c r="G13" s="19" t="s">
        <v>138</v>
      </c>
      <c r="H13" s="21">
        <f>IF(AND(F13="Completada", COUNTIF($B$2:B13, B13) = COUNTIF($B$2:$B$1016, B13)), 1, 0)</f>
        <v>1</v>
      </c>
      <c r="I13" s="22" t="str">
        <f>VLOOKUP([1]Avances_Diarios!$C13, [1]!tColaboradores[#Data], 3, 0)</f>
        <v>Diseñador UI/UX</v>
      </c>
    </row>
    <row r="14" spans="1:9" x14ac:dyDescent="0.25">
      <c r="A14" s="15">
        <v>13</v>
      </c>
      <c r="B14" s="15">
        <v>24</v>
      </c>
      <c r="C14" s="15">
        <v>8</v>
      </c>
      <c r="D14" s="16">
        <v>45973</v>
      </c>
      <c r="E14" s="15">
        <v>3</v>
      </c>
      <c r="F14" s="15" t="s">
        <v>135</v>
      </c>
      <c r="G14" s="15" t="s">
        <v>139</v>
      </c>
      <c r="H14" s="17">
        <f>IF(AND(F14="Completada", COUNTIF($B$2:B14, B14) = COUNTIF($B$2:$B$1016, B14)), 1, 0)</f>
        <v>1</v>
      </c>
      <c r="I14" s="18" t="str">
        <f>VLOOKUP([1]Avances_Diarios!$C14, [1]!tColaboradores[#Data], 3, 0)</f>
        <v>Desarrollador Móvil</v>
      </c>
    </row>
    <row r="15" spans="1:9" x14ac:dyDescent="0.25">
      <c r="A15" s="19">
        <v>14</v>
      </c>
      <c r="B15" s="19">
        <v>25</v>
      </c>
      <c r="C15" s="19">
        <v>9</v>
      </c>
      <c r="D15" s="20">
        <v>45974</v>
      </c>
      <c r="E15" s="19">
        <v>4</v>
      </c>
      <c r="F15" s="19" t="s">
        <v>135</v>
      </c>
      <c r="G15" s="19" t="s">
        <v>152</v>
      </c>
      <c r="H15" s="21">
        <f>IF(AND(F15="Completada", COUNTIF($B$2:B15, B15) = COUNTIF($B$2:$B$1016, B15)), 1, 0)</f>
        <v>1</v>
      </c>
      <c r="I15" s="22" t="str">
        <f>VLOOKUP([1]Avances_Diarios!$C15, [1]!tColaboradores[#Data], 3, 0)</f>
        <v>Scrum Master</v>
      </c>
    </row>
    <row r="16" spans="1:9" x14ac:dyDescent="0.25">
      <c r="A16" s="15">
        <v>15</v>
      </c>
      <c r="B16" s="15">
        <v>26</v>
      </c>
      <c r="C16" s="15">
        <v>10</v>
      </c>
      <c r="D16" s="16">
        <v>45974</v>
      </c>
      <c r="E16" s="15">
        <v>3</v>
      </c>
      <c r="F16" s="15" t="s">
        <v>135</v>
      </c>
      <c r="G16" s="15" t="s">
        <v>153</v>
      </c>
      <c r="H16" s="17">
        <f>IF(AND(F16="Completada", COUNTIF($B$2:B16, B16) = COUNTIF($B$2:$B$1016, B16)), 1, 0)</f>
        <v>1</v>
      </c>
      <c r="I16" s="18" t="str">
        <f>VLOOKUP([1]Avances_Diarios!$C16, [1]!tColaboradores[#Data], 3, 0)</f>
        <v>Desarrollador Frontend</v>
      </c>
    </row>
    <row r="17" spans="1:9" x14ac:dyDescent="0.25">
      <c r="A17" s="19">
        <v>16</v>
      </c>
      <c r="B17" s="19">
        <v>2</v>
      </c>
      <c r="C17" s="19">
        <v>2</v>
      </c>
      <c r="D17" s="20">
        <v>45971</v>
      </c>
      <c r="E17" s="19">
        <v>3</v>
      </c>
      <c r="F17" s="19" t="s">
        <v>136</v>
      </c>
      <c r="G17" s="19" t="s">
        <v>154</v>
      </c>
      <c r="H17" s="21">
        <f>IF(AND(F17="Completada", COUNTIF($B$2:B17, B17) = COUNTIF($B$2:$B$1016, B17)), 1, 0)</f>
        <v>0</v>
      </c>
      <c r="I17" s="22" t="str">
        <f>VLOOKUP([1]Avances_Diarios!$C17, [1]!tColaboradores[#Data], 3, 0)</f>
        <v>Diseñador UI/UX</v>
      </c>
    </row>
    <row r="18" spans="1:9" x14ac:dyDescent="0.25">
      <c r="A18" s="15">
        <v>17</v>
      </c>
      <c r="B18" s="15">
        <v>2</v>
      </c>
      <c r="C18" s="15">
        <v>2</v>
      </c>
      <c r="D18" s="16">
        <v>45976</v>
      </c>
      <c r="E18" s="15">
        <v>4</v>
      </c>
      <c r="F18" s="15" t="s">
        <v>136</v>
      </c>
      <c r="G18" s="15" t="s">
        <v>155</v>
      </c>
      <c r="H18" s="17">
        <f>IF(AND(F18="Completada", COUNTIF($B$2:B18, B18) = COUNTIF($B$2:$B$1016, B18)), 1, 0)</f>
        <v>0</v>
      </c>
      <c r="I18" s="18" t="str">
        <f>VLOOKUP([1]Avances_Diarios!$C18, [1]!tColaboradores[#Data], 3, 0)</f>
        <v>Diseñador UI/UX</v>
      </c>
    </row>
    <row r="19" spans="1:9" x14ac:dyDescent="0.25">
      <c r="A19" s="19">
        <v>18</v>
      </c>
      <c r="B19" s="19">
        <v>4</v>
      </c>
      <c r="C19" s="19">
        <v>4</v>
      </c>
      <c r="D19" s="20">
        <v>45973</v>
      </c>
      <c r="E19" s="19">
        <v>3</v>
      </c>
      <c r="F19" s="19" t="s">
        <v>136</v>
      </c>
      <c r="G19" s="19" t="s">
        <v>156</v>
      </c>
      <c r="H19" s="21">
        <f>IF(AND(F19="Completada", COUNTIF($B$2:B19, B19) = COUNTIF($B$2:$B$1016, B19)), 1, 0)</f>
        <v>0</v>
      </c>
      <c r="I19" s="22" t="str">
        <f>VLOOKUP([1]Avances_Diarios!$C19, [1]!tColaboradores[#Data], 3, 0)</f>
        <v>Desarrollador Móvil</v>
      </c>
    </row>
    <row r="20" spans="1:9" x14ac:dyDescent="0.25">
      <c r="A20" s="15">
        <v>19</v>
      </c>
      <c r="B20" s="15">
        <v>4</v>
      </c>
      <c r="C20" s="15">
        <v>4</v>
      </c>
      <c r="D20" s="16">
        <v>45979</v>
      </c>
      <c r="E20" s="15">
        <v>2</v>
      </c>
      <c r="F20" s="15" t="s">
        <v>136</v>
      </c>
      <c r="G20" s="15" t="s">
        <v>157</v>
      </c>
      <c r="H20" s="17">
        <f>IF(AND(F20="Completada", COUNTIF($B$2:B20, B20) = COUNTIF($B$2:$B$1016, B20)), 1, 0)</f>
        <v>0</v>
      </c>
      <c r="I20" s="18" t="str">
        <f>VLOOKUP([1]Avances_Diarios!$C20, [1]!tColaboradores[#Data], 3, 0)</f>
        <v>Desarrollador Frontend</v>
      </c>
    </row>
    <row r="21" spans="1:9" x14ac:dyDescent="0.25">
      <c r="A21" s="19">
        <v>20</v>
      </c>
      <c r="B21" s="19">
        <v>8</v>
      </c>
      <c r="C21" s="19">
        <v>8</v>
      </c>
      <c r="D21" s="20">
        <v>45975</v>
      </c>
      <c r="E21" s="19">
        <v>3</v>
      </c>
      <c r="F21" s="19" t="s">
        <v>136</v>
      </c>
      <c r="G21" s="19" t="s">
        <v>158</v>
      </c>
      <c r="H21" s="21">
        <f>IF(AND(F21="Completada", COUNTIF($B$2:B21, B21) = COUNTIF($B$2:$B$1016, B21)), 1, 0)</f>
        <v>0</v>
      </c>
      <c r="I21" s="22" t="str">
        <f>VLOOKUP([1]Avances_Diarios!$C21, [1]!tColaboradores[#Data], 3, 0)</f>
        <v>Desarrolladora Backend</v>
      </c>
    </row>
    <row r="22" spans="1:9" x14ac:dyDescent="0.25">
      <c r="A22" s="15">
        <v>21</v>
      </c>
      <c r="B22" s="15">
        <v>8</v>
      </c>
      <c r="C22" s="15">
        <v>8</v>
      </c>
      <c r="D22" s="16">
        <v>45980</v>
      </c>
      <c r="E22" s="15">
        <v>3</v>
      </c>
      <c r="F22" s="15" t="s">
        <v>136</v>
      </c>
      <c r="G22" s="15" t="s">
        <v>159</v>
      </c>
      <c r="H22" s="17">
        <f>IF(AND(F22="Completada", COUNTIF($B$2:B22, B22) = COUNTIF($B$2:$B$1016, B22)), 1, 0)</f>
        <v>0</v>
      </c>
      <c r="I22" s="18" t="str">
        <f>VLOOKUP([1]Avances_Diarios!$C22, [1]!tColaboradores[#Data], 3, 0)</f>
        <v>Diseñador UI/UX</v>
      </c>
    </row>
    <row r="23" spans="1:9" x14ac:dyDescent="0.25">
      <c r="A23" s="19">
        <v>22</v>
      </c>
      <c r="B23" s="19">
        <v>10</v>
      </c>
      <c r="C23" s="19">
        <v>10</v>
      </c>
      <c r="D23" s="20">
        <v>45976</v>
      </c>
      <c r="E23" s="19">
        <v>2</v>
      </c>
      <c r="F23" s="19" t="s">
        <v>136</v>
      </c>
      <c r="G23" s="19" t="s">
        <v>160</v>
      </c>
      <c r="H23" s="21">
        <f>IF(AND(F23="Completada", COUNTIF($B$2:B23, B23) = COUNTIF($B$2:$B$1016, B23)), 1, 0)</f>
        <v>0</v>
      </c>
      <c r="I23" s="22" t="str">
        <f>VLOOKUP([1]Avances_Diarios!$C23, [1]!tColaboradores[#Data], 3, 0)</f>
        <v>QA Tester</v>
      </c>
    </row>
    <row r="24" spans="1:9" x14ac:dyDescent="0.25">
      <c r="A24" s="15">
        <v>23</v>
      </c>
      <c r="B24" s="15">
        <v>11</v>
      </c>
      <c r="C24" s="15">
        <v>11</v>
      </c>
      <c r="D24" s="16">
        <v>45977</v>
      </c>
      <c r="E24" s="15">
        <v>3</v>
      </c>
      <c r="F24" s="15" t="s">
        <v>137</v>
      </c>
      <c r="G24" s="15" t="s">
        <v>161</v>
      </c>
      <c r="H24" s="17">
        <f>IF(AND(F24="Completada", COUNTIF($B$2:B24, B24) = COUNTIF($B$2:$B$1016, B24)), 1, 0)</f>
        <v>0</v>
      </c>
      <c r="I24" s="18" t="str">
        <f>VLOOKUP([1]Avances_Diarios!$C24, [1]!tColaboradores[#Data], 3, 0)</f>
        <v>Líder Técnico</v>
      </c>
    </row>
    <row r="25" spans="1:9" x14ac:dyDescent="0.25">
      <c r="A25" s="19">
        <v>24</v>
      </c>
      <c r="B25" s="19">
        <v>13</v>
      </c>
      <c r="C25" s="19">
        <v>13</v>
      </c>
      <c r="D25" s="20">
        <v>45978</v>
      </c>
      <c r="E25" s="19">
        <v>2</v>
      </c>
      <c r="F25" s="19" t="s">
        <v>137</v>
      </c>
      <c r="G25" s="19" t="s">
        <v>161</v>
      </c>
      <c r="H25" s="21">
        <f>IF(AND(F25="Completada", COUNTIF($B$2:B25, B25) = COUNTIF($B$2:$B$1016, B25)), 1, 0)</f>
        <v>0</v>
      </c>
      <c r="I25" s="22" t="str">
        <f>VLOOKUP([1]Avances_Diarios!$C25, [1]!tColaboradores[#Data], 3, 0)</f>
        <v>Desarrollador Frontend</v>
      </c>
    </row>
    <row r="26" spans="1:9" x14ac:dyDescent="0.25">
      <c r="A26" s="15">
        <v>25</v>
      </c>
      <c r="B26" s="15">
        <v>14</v>
      </c>
      <c r="C26" s="15">
        <v>14</v>
      </c>
      <c r="D26" s="16">
        <v>45979</v>
      </c>
      <c r="E26" s="15">
        <v>1</v>
      </c>
      <c r="F26" s="15" t="s">
        <v>137</v>
      </c>
      <c r="G26" s="15" t="s">
        <v>161</v>
      </c>
      <c r="H26" s="17">
        <f>IF(AND(F26="Completada", COUNTIF($B$2:B26, B26) = COUNTIF($B$2:$B$1016, B26)), 1, 0)</f>
        <v>0</v>
      </c>
      <c r="I26" s="18" t="str">
        <f>VLOOKUP([1]Avances_Diarios!$C26, [1]!tColaboradores[#Data], 3, 0)</f>
        <v>Scrum Master</v>
      </c>
    </row>
    <row r="27" spans="1:9" x14ac:dyDescent="0.25">
      <c r="A27" s="19">
        <v>26</v>
      </c>
      <c r="B27" s="19">
        <v>18</v>
      </c>
      <c r="C27" s="19">
        <v>2</v>
      </c>
      <c r="D27" s="20">
        <v>45980</v>
      </c>
      <c r="E27" s="19">
        <v>3</v>
      </c>
      <c r="F27" s="19" t="s">
        <v>136</v>
      </c>
      <c r="G27" s="19" t="s">
        <v>162</v>
      </c>
      <c r="H27" s="21">
        <f>IF(AND(F27="Completada", COUNTIF($B$2:B27, B27) = COUNTIF($B$2:$B$1016, B27)), 1, 0)</f>
        <v>0</v>
      </c>
      <c r="I27" s="22" t="str">
        <f>VLOOKUP([1]Avances_Diarios!$C27, [1]!tColaboradores[#Data], 3, 0)</f>
        <v>Desarrollador Frontend</v>
      </c>
    </row>
    <row r="28" spans="1:9" x14ac:dyDescent="0.25">
      <c r="A28" s="15">
        <v>27</v>
      </c>
      <c r="B28" s="15">
        <v>19</v>
      </c>
      <c r="C28" s="15">
        <v>3</v>
      </c>
      <c r="D28" s="16">
        <v>45981</v>
      </c>
      <c r="E28" s="15">
        <v>4</v>
      </c>
      <c r="F28" s="15" t="s">
        <v>136</v>
      </c>
      <c r="G28" s="15" t="s">
        <v>163</v>
      </c>
      <c r="H28" s="17">
        <f>IF(AND(F28="Completada", COUNTIF($B$2:B28, B28) = COUNTIF($B$2:$B$1016, B28)), 1, 0)</f>
        <v>0</v>
      </c>
      <c r="I28" s="18" t="str">
        <f>VLOOKUP([1]Avances_Diarios!$C28, [1]!tColaboradores[#Data], 3, 0)</f>
        <v>Diseñador UI/UX</v>
      </c>
    </row>
    <row r="29" spans="1:9" x14ac:dyDescent="0.25">
      <c r="A29" s="19">
        <v>28</v>
      </c>
      <c r="B29" s="19">
        <v>20</v>
      </c>
      <c r="C29" s="19">
        <v>4</v>
      </c>
      <c r="D29" s="20">
        <v>45982</v>
      </c>
      <c r="E29" s="19">
        <v>2</v>
      </c>
      <c r="F29" s="19" t="s">
        <v>137</v>
      </c>
      <c r="G29" s="19" t="s">
        <v>161</v>
      </c>
      <c r="H29" s="21">
        <f>IF(AND(F29="Completada", COUNTIF($B$2:B29, B29) = COUNTIF($B$2:$B$1016, B29)), 1, 0)</f>
        <v>0</v>
      </c>
      <c r="I29" s="22" t="str">
        <f>VLOOKUP([1]Avances_Diarios!$C29, [1]!tColaboradores[#Data], 3, 0)</f>
        <v>Diseñador UI/UX</v>
      </c>
    </row>
    <row r="30" spans="1:9" x14ac:dyDescent="0.25">
      <c r="A30" s="15">
        <v>29</v>
      </c>
      <c r="B30" s="15">
        <v>21</v>
      </c>
      <c r="C30" s="15">
        <v>5</v>
      </c>
      <c r="D30" s="16">
        <v>45983</v>
      </c>
      <c r="E30" s="15">
        <v>3</v>
      </c>
      <c r="F30" s="15" t="s">
        <v>136</v>
      </c>
      <c r="G30" s="15" t="s">
        <v>164</v>
      </c>
      <c r="H30" s="17">
        <f>IF(AND(F30="Completada", COUNTIF($B$2:B30, B30) = COUNTIF($B$2:$B$1016, B30)), 1, 0)</f>
        <v>0</v>
      </c>
      <c r="I30" s="18" t="str">
        <f>VLOOKUP([1]Avances_Diarios!$C30, [1]!tColaboradores[#Data], 3, 0)</f>
        <v>Desarrollador Móvil</v>
      </c>
    </row>
    <row r="31" spans="1:9" x14ac:dyDescent="0.25">
      <c r="A31" s="19">
        <v>30</v>
      </c>
      <c r="B31" s="19">
        <v>27</v>
      </c>
      <c r="C31" s="19">
        <v>11</v>
      </c>
      <c r="D31" s="20">
        <v>45984</v>
      </c>
      <c r="E31" s="19">
        <v>2</v>
      </c>
      <c r="F31" s="19" t="s">
        <v>137</v>
      </c>
      <c r="G31" s="19" t="s">
        <v>161</v>
      </c>
      <c r="H31" s="21">
        <f>IF(AND(F31="Completada", COUNTIF($B$2:B31, B31) = COUNTIF($B$2:$B$1016, B31)), 1, 0)</f>
        <v>0</v>
      </c>
      <c r="I31" s="22" t="str">
        <f>VLOOKUP([1]Avances_Diarios!$C31, [1]!tColaboradores[#Data], 3, 0)</f>
        <v>Analista Funcional</v>
      </c>
    </row>
    <row r="32" spans="1:9" x14ac:dyDescent="0.25">
      <c r="A32" s="15">
        <v>31</v>
      </c>
      <c r="B32" s="15">
        <v>28</v>
      </c>
      <c r="C32" s="15">
        <v>12</v>
      </c>
      <c r="D32" s="16">
        <v>45985</v>
      </c>
      <c r="E32" s="15">
        <v>3</v>
      </c>
      <c r="F32" s="15" t="s">
        <v>136</v>
      </c>
      <c r="G32" s="15" t="s">
        <v>165</v>
      </c>
      <c r="H32" s="17">
        <f>IF(AND(F32="Completada", COUNTIF($B$2:B32, B32) = COUNTIF($B$2:$B$1016, B32)), 1, 0)</f>
        <v>0</v>
      </c>
      <c r="I32" s="18" t="str">
        <f>VLOOKUP([1]Avances_Diarios!$C32, [1]!tColaboradores[#Data], 3, 0)</f>
        <v>Analista Funcional</v>
      </c>
    </row>
    <row r="33" spans="1:9" x14ac:dyDescent="0.25">
      <c r="A33" s="19">
        <v>32</v>
      </c>
      <c r="B33" s="19">
        <v>29</v>
      </c>
      <c r="C33" s="19">
        <v>13</v>
      </c>
      <c r="D33" s="20">
        <v>45986</v>
      </c>
      <c r="E33" s="19">
        <v>2</v>
      </c>
      <c r="F33" s="19" t="s">
        <v>137</v>
      </c>
      <c r="G33" s="19" t="s">
        <v>161</v>
      </c>
      <c r="H33" s="21">
        <f>IF(AND(F33="Completada", COUNTIF($B$2:B33, B33) = COUNTIF($B$2:$B$1016, B33)), 1, 0)</f>
        <v>0</v>
      </c>
      <c r="I33" s="22" t="str">
        <f>VLOOKUP([1]Avances_Diarios!$C33, [1]!tColaboradores[#Data], 3, 0)</f>
        <v>Analista Funcional</v>
      </c>
    </row>
    <row r="34" spans="1:9" x14ac:dyDescent="0.25">
      <c r="A34" s="18">
        <v>33</v>
      </c>
      <c r="B34" s="18">
        <v>30</v>
      </c>
      <c r="C34" s="18">
        <v>14</v>
      </c>
      <c r="D34" s="23">
        <v>45987</v>
      </c>
      <c r="E34" s="18">
        <v>1</v>
      </c>
      <c r="F34" s="18" t="s">
        <v>137</v>
      </c>
      <c r="G34" s="18" t="s">
        <v>161</v>
      </c>
      <c r="H34" s="17">
        <f>IF(AND(F34="Completada", COUNTIF($B$2:B34, B34) = COUNTIF($B$2:$B$1016, B34)), 1, 0)</f>
        <v>0</v>
      </c>
      <c r="I34" s="18" t="str">
        <f>VLOOKUP([1]Avances_Diarios!$C34, [1]!tColaboradores[#Data], 3, 0)</f>
        <v>QA Tester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B5EC-8BE8-4C1E-91A3-9D2975FE6F5E}">
  <sheetPr>
    <tabColor rgb="FFFFFF00"/>
  </sheetPr>
  <dimension ref="B2:F131"/>
  <sheetViews>
    <sheetView zoomScale="85" zoomScaleNormal="85" workbookViewId="0">
      <selection activeCell="B132" sqref="B1:S132"/>
    </sheetView>
  </sheetViews>
  <sheetFormatPr baseColWidth="10" defaultRowHeight="15" x14ac:dyDescent="0.25"/>
  <cols>
    <col min="2" max="2" width="24" bestFit="1" customWidth="1"/>
    <col min="3" max="3" width="9.5703125" bestFit="1" customWidth="1"/>
    <col min="4" max="4" width="17.28515625" bestFit="1" customWidth="1"/>
    <col min="5" max="5" width="10.28515625" bestFit="1" customWidth="1"/>
    <col min="6" max="6" width="12.5703125" bestFit="1" customWidth="1"/>
    <col min="7" max="17" width="10.42578125" bestFit="1" customWidth="1"/>
    <col min="18" max="18" width="12.5703125" bestFit="1" customWidth="1"/>
    <col min="19" max="26" width="10.42578125" bestFit="1" customWidth="1"/>
    <col min="27" max="27" width="12.5703125" bestFit="1" customWidth="1"/>
  </cols>
  <sheetData>
    <row r="2" spans="2:6" ht="15.75" x14ac:dyDescent="0.25">
      <c r="B2" s="32" t="s">
        <v>168</v>
      </c>
      <c r="C2" s="32"/>
      <c r="D2" s="32"/>
    </row>
    <row r="3" spans="2:6" x14ac:dyDescent="0.25">
      <c r="B3" s="24" t="s">
        <v>166</v>
      </c>
      <c r="C3" t="s">
        <v>169</v>
      </c>
      <c r="D3" t="s">
        <v>170</v>
      </c>
    </row>
    <row r="4" spans="2:6" x14ac:dyDescent="0.25">
      <c r="B4" s="25" t="s">
        <v>110</v>
      </c>
      <c r="C4">
        <v>6</v>
      </c>
      <c r="D4">
        <v>5</v>
      </c>
    </row>
    <row r="5" spans="2:6" x14ac:dyDescent="0.25">
      <c r="B5" s="25" t="s">
        <v>121</v>
      </c>
      <c r="C5">
        <v>3</v>
      </c>
      <c r="D5">
        <v>0</v>
      </c>
    </row>
    <row r="6" spans="2:6" x14ac:dyDescent="0.25">
      <c r="B6" s="25" t="s">
        <v>75</v>
      </c>
      <c r="C6">
        <v>6</v>
      </c>
      <c r="D6">
        <v>4</v>
      </c>
    </row>
    <row r="7" spans="2:6" x14ac:dyDescent="0.25">
      <c r="B7" s="25" t="s">
        <v>89</v>
      </c>
      <c r="C7">
        <v>11</v>
      </c>
      <c r="D7">
        <v>4</v>
      </c>
    </row>
    <row r="8" spans="2:6" x14ac:dyDescent="0.25">
      <c r="B8" s="25" t="s">
        <v>64</v>
      </c>
      <c r="C8">
        <v>4</v>
      </c>
      <c r="D8">
        <v>2</v>
      </c>
    </row>
    <row r="9" spans="2:6" x14ac:dyDescent="0.25">
      <c r="B9" s="25" t="s">
        <v>167</v>
      </c>
      <c r="C9">
        <v>30</v>
      </c>
      <c r="D9">
        <v>15</v>
      </c>
    </row>
    <row r="13" spans="2:6" ht="15.75" x14ac:dyDescent="0.25">
      <c r="B13" s="32" t="s">
        <v>171</v>
      </c>
      <c r="C13" s="32"/>
      <c r="D13" s="32"/>
      <c r="E13" s="32"/>
      <c r="F13" s="32"/>
    </row>
    <row r="14" spans="2:6" x14ac:dyDescent="0.25">
      <c r="B14" s="24" t="s">
        <v>173</v>
      </c>
      <c r="C14" s="24" t="s">
        <v>172</v>
      </c>
    </row>
    <row r="15" spans="2:6" x14ac:dyDescent="0.25">
      <c r="B15" s="24" t="s">
        <v>166</v>
      </c>
      <c r="C15" t="s">
        <v>135</v>
      </c>
      <c r="D15" t="s">
        <v>136</v>
      </c>
      <c r="E15" t="s">
        <v>137</v>
      </c>
      <c r="F15" t="s">
        <v>167</v>
      </c>
    </row>
    <row r="16" spans="2:6" x14ac:dyDescent="0.25">
      <c r="B16" s="25" t="s">
        <v>5</v>
      </c>
      <c r="C16">
        <v>2</v>
      </c>
      <c r="F16">
        <v>2</v>
      </c>
    </row>
    <row r="17" spans="2:6" x14ac:dyDescent="0.25">
      <c r="B17" s="25" t="s">
        <v>8</v>
      </c>
      <c r="D17">
        <v>3</v>
      </c>
      <c r="F17">
        <v>3</v>
      </c>
    </row>
    <row r="18" spans="2:6" x14ac:dyDescent="0.25">
      <c r="B18" s="25" t="s">
        <v>10</v>
      </c>
      <c r="C18">
        <v>1</v>
      </c>
      <c r="D18">
        <v>1</v>
      </c>
      <c r="F18">
        <v>2</v>
      </c>
    </row>
    <row r="19" spans="2:6" x14ac:dyDescent="0.25">
      <c r="B19" s="25" t="s">
        <v>13</v>
      </c>
      <c r="D19">
        <v>2</v>
      </c>
      <c r="E19">
        <v>1</v>
      </c>
      <c r="F19">
        <v>3</v>
      </c>
    </row>
    <row r="20" spans="2:6" x14ac:dyDescent="0.25">
      <c r="B20" s="25" t="s">
        <v>16</v>
      </c>
      <c r="C20">
        <v>1</v>
      </c>
      <c r="D20">
        <v>1</v>
      </c>
      <c r="F20">
        <v>2</v>
      </c>
    </row>
    <row r="21" spans="2:6" x14ac:dyDescent="0.25">
      <c r="B21" s="25" t="s">
        <v>18</v>
      </c>
      <c r="C21">
        <v>2</v>
      </c>
      <c r="F21">
        <v>2</v>
      </c>
    </row>
    <row r="22" spans="2:6" x14ac:dyDescent="0.25">
      <c r="B22" s="25" t="s">
        <v>21</v>
      </c>
      <c r="C22">
        <v>2</v>
      </c>
      <c r="F22">
        <v>2</v>
      </c>
    </row>
    <row r="23" spans="2:6" x14ac:dyDescent="0.25">
      <c r="B23" s="25" t="s">
        <v>23</v>
      </c>
      <c r="C23">
        <v>1</v>
      </c>
      <c r="D23">
        <v>2</v>
      </c>
      <c r="F23">
        <v>3</v>
      </c>
    </row>
    <row r="24" spans="2:6" x14ac:dyDescent="0.25">
      <c r="B24" s="25" t="s">
        <v>26</v>
      </c>
      <c r="C24">
        <v>2</v>
      </c>
      <c r="F24">
        <v>2</v>
      </c>
    </row>
    <row r="25" spans="2:6" x14ac:dyDescent="0.25">
      <c r="B25" s="25" t="s">
        <v>29</v>
      </c>
      <c r="C25">
        <v>1</v>
      </c>
      <c r="D25">
        <v>1</v>
      </c>
      <c r="F25">
        <v>2</v>
      </c>
    </row>
    <row r="26" spans="2:6" x14ac:dyDescent="0.25">
      <c r="B26" s="25" t="s">
        <v>31</v>
      </c>
      <c r="E26">
        <v>2</v>
      </c>
      <c r="F26">
        <v>2</v>
      </c>
    </row>
    <row r="27" spans="2:6" x14ac:dyDescent="0.25">
      <c r="B27" s="25" t="s">
        <v>34</v>
      </c>
      <c r="C27">
        <v>1</v>
      </c>
      <c r="D27">
        <v>1</v>
      </c>
      <c r="F27">
        <v>2</v>
      </c>
    </row>
    <row r="28" spans="2:6" x14ac:dyDescent="0.25">
      <c r="B28" s="25" t="s">
        <v>36</v>
      </c>
      <c r="E28">
        <v>2</v>
      </c>
      <c r="F28">
        <v>2</v>
      </c>
    </row>
    <row r="29" spans="2:6" x14ac:dyDescent="0.25">
      <c r="B29" s="25" t="s">
        <v>38</v>
      </c>
      <c r="E29">
        <v>2</v>
      </c>
      <c r="F29">
        <v>2</v>
      </c>
    </row>
    <row r="30" spans="2:6" x14ac:dyDescent="0.25">
      <c r="B30" s="25" t="s">
        <v>40</v>
      </c>
      <c r="C30">
        <v>1</v>
      </c>
      <c r="F30">
        <v>1</v>
      </c>
    </row>
    <row r="31" spans="2:6" x14ac:dyDescent="0.25">
      <c r="B31" s="25" t="s">
        <v>41</v>
      </c>
      <c r="C31">
        <v>1</v>
      </c>
      <c r="F31">
        <v>1</v>
      </c>
    </row>
    <row r="32" spans="2:6" x14ac:dyDescent="0.25">
      <c r="B32" s="25" t="s">
        <v>167</v>
      </c>
      <c r="C32">
        <v>15</v>
      </c>
      <c r="D32">
        <v>11</v>
      </c>
      <c r="E32">
        <v>7</v>
      </c>
      <c r="F32">
        <v>33</v>
      </c>
    </row>
    <row r="38" spans="2:3" ht="15.75" x14ac:dyDescent="0.25">
      <c r="B38" s="32" t="s">
        <v>198</v>
      </c>
      <c r="C38" s="32"/>
    </row>
    <row r="39" spans="2:3" x14ac:dyDescent="0.25">
      <c r="B39" s="24" t="s">
        <v>166</v>
      </c>
      <c r="C39" t="s">
        <v>131</v>
      </c>
    </row>
    <row r="40" spans="2:3" x14ac:dyDescent="0.25">
      <c r="B40" s="25" t="s">
        <v>174</v>
      </c>
      <c r="C40">
        <v>3</v>
      </c>
    </row>
    <row r="41" spans="2:3" x14ac:dyDescent="0.25">
      <c r="B41" s="25" t="s">
        <v>175</v>
      </c>
      <c r="C41">
        <v>4</v>
      </c>
    </row>
    <row r="42" spans="2:3" x14ac:dyDescent="0.25">
      <c r="B42" s="25" t="s">
        <v>176</v>
      </c>
      <c r="C42">
        <v>4</v>
      </c>
    </row>
    <row r="43" spans="2:3" x14ac:dyDescent="0.25">
      <c r="B43" s="25" t="s">
        <v>177</v>
      </c>
      <c r="C43">
        <v>7</v>
      </c>
    </row>
    <row r="44" spans="2:3" x14ac:dyDescent="0.25">
      <c r="B44" s="25" t="s">
        <v>178</v>
      </c>
      <c r="C44">
        <v>2</v>
      </c>
    </row>
    <row r="45" spans="2:3" x14ac:dyDescent="0.25">
      <c r="B45" s="25" t="s">
        <v>179</v>
      </c>
      <c r="C45">
        <v>7</v>
      </c>
    </row>
    <row r="46" spans="2:3" x14ac:dyDescent="0.25">
      <c r="B46" s="25" t="s">
        <v>180</v>
      </c>
      <c r="C46">
        <v>2</v>
      </c>
    </row>
    <row r="47" spans="2:3" x14ac:dyDescent="0.25">
      <c r="B47" s="25" t="s">
        <v>181</v>
      </c>
      <c r="C47">
        <v>3</v>
      </c>
    </row>
    <row r="48" spans="2:3" x14ac:dyDescent="0.25">
      <c r="B48" s="25" t="s">
        <v>182</v>
      </c>
      <c r="C48">
        <v>4</v>
      </c>
    </row>
    <row r="49" spans="2:3" x14ac:dyDescent="0.25">
      <c r="B49" s="25" t="s">
        <v>183</v>
      </c>
      <c r="C49">
        <v>8</v>
      </c>
    </row>
    <row r="50" spans="2:3" x14ac:dyDescent="0.25">
      <c r="B50" s="25" t="s">
        <v>184</v>
      </c>
      <c r="C50">
        <v>7</v>
      </c>
    </row>
    <row r="51" spans="2:3" x14ac:dyDescent="0.25">
      <c r="B51" s="25" t="s">
        <v>185</v>
      </c>
      <c r="C51">
        <v>3</v>
      </c>
    </row>
    <row r="52" spans="2:3" x14ac:dyDescent="0.25">
      <c r="B52" s="25" t="s">
        <v>186</v>
      </c>
      <c r="C52">
        <v>6</v>
      </c>
    </row>
    <row r="53" spans="2:3" x14ac:dyDescent="0.25">
      <c r="B53" s="25" t="s">
        <v>187</v>
      </c>
      <c r="C53">
        <v>3</v>
      </c>
    </row>
    <row r="54" spans="2:3" x14ac:dyDescent="0.25">
      <c r="B54" s="25" t="s">
        <v>188</v>
      </c>
      <c r="C54">
        <v>2</v>
      </c>
    </row>
    <row r="55" spans="2:3" x14ac:dyDescent="0.25">
      <c r="B55" s="25" t="s">
        <v>189</v>
      </c>
      <c r="C55">
        <v>3</v>
      </c>
    </row>
    <row r="56" spans="2:3" x14ac:dyDescent="0.25">
      <c r="B56" s="25" t="s">
        <v>190</v>
      </c>
      <c r="C56">
        <v>6</v>
      </c>
    </row>
    <row r="57" spans="2:3" x14ac:dyDescent="0.25">
      <c r="B57" s="25" t="s">
        <v>191</v>
      </c>
      <c r="C57">
        <v>4</v>
      </c>
    </row>
    <row r="58" spans="2:3" x14ac:dyDescent="0.25">
      <c r="B58" s="25" t="s">
        <v>192</v>
      </c>
      <c r="C58">
        <v>2</v>
      </c>
    </row>
    <row r="59" spans="2:3" x14ac:dyDescent="0.25">
      <c r="B59" s="25" t="s">
        <v>193</v>
      </c>
      <c r="C59">
        <v>3</v>
      </c>
    </row>
    <row r="60" spans="2:3" x14ac:dyDescent="0.25">
      <c r="B60" s="25" t="s">
        <v>194</v>
      </c>
      <c r="C60">
        <v>2</v>
      </c>
    </row>
    <row r="61" spans="2:3" x14ac:dyDescent="0.25">
      <c r="B61" s="25" t="s">
        <v>195</v>
      </c>
      <c r="C61">
        <v>3</v>
      </c>
    </row>
    <row r="62" spans="2:3" x14ac:dyDescent="0.25">
      <c r="B62" s="25" t="s">
        <v>196</v>
      </c>
      <c r="C62">
        <v>2</v>
      </c>
    </row>
    <row r="63" spans="2:3" x14ac:dyDescent="0.25">
      <c r="B63" s="25" t="s">
        <v>197</v>
      </c>
      <c r="C63">
        <v>1</v>
      </c>
    </row>
    <row r="64" spans="2:3" x14ac:dyDescent="0.25">
      <c r="B64" s="25" t="s">
        <v>167</v>
      </c>
      <c r="C64">
        <v>91</v>
      </c>
    </row>
    <row r="70" spans="2:5" ht="15.75" x14ac:dyDescent="0.25">
      <c r="B70" s="32" t="s">
        <v>199</v>
      </c>
      <c r="C70" s="32"/>
      <c r="D70" s="32"/>
    </row>
    <row r="71" spans="2:5" x14ac:dyDescent="0.25">
      <c r="B71" s="24" t="s">
        <v>166</v>
      </c>
      <c r="C71" t="s">
        <v>169</v>
      </c>
      <c r="D71" t="s">
        <v>170</v>
      </c>
      <c r="E71" s="26"/>
    </row>
    <row r="72" spans="2:5" x14ac:dyDescent="0.25">
      <c r="B72" s="25" t="s">
        <v>67</v>
      </c>
      <c r="C72">
        <v>13</v>
      </c>
      <c r="D72">
        <v>6</v>
      </c>
    </row>
    <row r="73" spans="2:5" x14ac:dyDescent="0.25">
      <c r="B73" s="25" t="s">
        <v>80</v>
      </c>
      <c r="C73">
        <v>6</v>
      </c>
      <c r="D73">
        <v>3</v>
      </c>
    </row>
    <row r="74" spans="2:5" x14ac:dyDescent="0.25">
      <c r="B74" s="25" t="s">
        <v>72</v>
      </c>
      <c r="C74">
        <v>11</v>
      </c>
      <c r="D74">
        <v>6</v>
      </c>
    </row>
    <row r="75" spans="2:5" x14ac:dyDescent="0.25">
      <c r="B75" s="25" t="s">
        <v>167</v>
      </c>
      <c r="C75">
        <v>30</v>
      </c>
      <c r="D75">
        <v>15</v>
      </c>
      <c r="E75" s="28"/>
    </row>
    <row r="78" spans="2:5" x14ac:dyDescent="0.25">
      <c r="B78" s="25" t="s">
        <v>200</v>
      </c>
    </row>
    <row r="79" spans="2:5" x14ac:dyDescent="0.25">
      <c r="B79" s="24" t="s">
        <v>62</v>
      </c>
      <c r="C79" t="s" vm="1">
        <v>201</v>
      </c>
    </row>
    <row r="81" spans="2:3" x14ac:dyDescent="0.25">
      <c r="B81" s="24" t="s">
        <v>166</v>
      </c>
      <c r="C81" t="s">
        <v>169</v>
      </c>
    </row>
    <row r="82" spans="2:3" x14ac:dyDescent="0.25">
      <c r="B82" s="25" t="s">
        <v>64</v>
      </c>
      <c r="C82">
        <v>4</v>
      </c>
    </row>
    <row r="83" spans="2:3" x14ac:dyDescent="0.25">
      <c r="B83" s="25" t="s">
        <v>110</v>
      </c>
      <c r="C83">
        <v>6</v>
      </c>
    </row>
    <row r="84" spans="2:3" x14ac:dyDescent="0.25">
      <c r="B84" s="25" t="s">
        <v>121</v>
      </c>
      <c r="C84">
        <v>3</v>
      </c>
    </row>
    <row r="85" spans="2:3" x14ac:dyDescent="0.25">
      <c r="B85" s="25" t="s">
        <v>75</v>
      </c>
      <c r="C85">
        <v>6</v>
      </c>
    </row>
    <row r="86" spans="2:3" x14ac:dyDescent="0.25">
      <c r="B86" s="25" t="s">
        <v>89</v>
      </c>
      <c r="C86">
        <v>11</v>
      </c>
    </row>
    <row r="87" spans="2:3" x14ac:dyDescent="0.25">
      <c r="B87" s="25" t="s">
        <v>167</v>
      </c>
      <c r="C87">
        <v>30</v>
      </c>
    </row>
    <row r="104" spans="2:4" x14ac:dyDescent="0.25">
      <c r="B104" s="24" t="s">
        <v>166</v>
      </c>
      <c r="C104" t="s">
        <v>203</v>
      </c>
      <c r="D104" t="s">
        <v>204</v>
      </c>
    </row>
    <row r="105" spans="2:4" x14ac:dyDescent="0.25">
      <c r="B105" s="25" t="s">
        <v>127</v>
      </c>
      <c r="C105">
        <v>1</v>
      </c>
      <c r="D105">
        <v>3</v>
      </c>
    </row>
    <row r="106" spans="2:4" x14ac:dyDescent="0.25">
      <c r="B106" s="25" t="s">
        <v>69</v>
      </c>
      <c r="C106">
        <v>1</v>
      </c>
      <c r="D106">
        <v>5</v>
      </c>
    </row>
    <row r="107" spans="2:4" x14ac:dyDescent="0.25">
      <c r="B107" s="25" t="s">
        <v>88</v>
      </c>
      <c r="C107">
        <v>1</v>
      </c>
      <c r="D107">
        <v>3</v>
      </c>
    </row>
    <row r="108" spans="2:4" x14ac:dyDescent="0.25">
      <c r="B108" s="25" t="s">
        <v>84</v>
      </c>
      <c r="C108">
        <v>1</v>
      </c>
      <c r="D108">
        <v>5</v>
      </c>
    </row>
    <row r="109" spans="2:4" x14ac:dyDescent="0.25">
      <c r="B109" s="25" t="s">
        <v>74</v>
      </c>
      <c r="C109">
        <v>1</v>
      </c>
      <c r="D109">
        <v>7</v>
      </c>
    </row>
    <row r="110" spans="2:4" x14ac:dyDescent="0.25">
      <c r="B110" s="25" t="s">
        <v>79</v>
      </c>
      <c r="C110">
        <v>3</v>
      </c>
      <c r="D110">
        <v>6</v>
      </c>
    </row>
    <row r="111" spans="2:4" x14ac:dyDescent="0.25">
      <c r="B111" s="25" t="s">
        <v>95</v>
      </c>
      <c r="C111">
        <v>1</v>
      </c>
      <c r="D111">
        <v>5</v>
      </c>
    </row>
    <row r="112" spans="2:4" x14ac:dyDescent="0.25">
      <c r="B112" s="25" t="s">
        <v>116</v>
      </c>
      <c r="C112">
        <v>1</v>
      </c>
      <c r="D112">
        <v>5</v>
      </c>
    </row>
    <row r="113" spans="2:4" x14ac:dyDescent="0.25">
      <c r="B113" s="25" t="s">
        <v>86</v>
      </c>
      <c r="C113">
        <v>1</v>
      </c>
      <c r="D113">
        <v>8</v>
      </c>
    </row>
    <row r="114" spans="2:4" x14ac:dyDescent="0.25">
      <c r="B114" s="25" t="s">
        <v>82</v>
      </c>
      <c r="C114">
        <v>3</v>
      </c>
      <c r="D114">
        <v>9</v>
      </c>
    </row>
    <row r="115" spans="2:4" x14ac:dyDescent="0.25">
      <c r="B115" s="25" t="s">
        <v>125</v>
      </c>
      <c r="C115">
        <v>1</v>
      </c>
      <c r="D115">
        <v>4</v>
      </c>
    </row>
    <row r="116" spans="2:4" x14ac:dyDescent="0.25">
      <c r="B116" s="25" t="s">
        <v>66</v>
      </c>
      <c r="C116">
        <v>1</v>
      </c>
      <c r="D116">
        <v>3</v>
      </c>
    </row>
    <row r="117" spans="2:4" x14ac:dyDescent="0.25">
      <c r="B117" s="25" t="s">
        <v>71</v>
      </c>
      <c r="C117">
        <v>1</v>
      </c>
      <c r="D117">
        <v>3</v>
      </c>
    </row>
    <row r="118" spans="2:4" x14ac:dyDescent="0.25">
      <c r="B118" s="25" t="s">
        <v>112</v>
      </c>
      <c r="C118">
        <v>1</v>
      </c>
      <c r="D118">
        <v>5</v>
      </c>
    </row>
    <row r="119" spans="2:4" x14ac:dyDescent="0.25">
      <c r="B119" s="25" t="s">
        <v>77</v>
      </c>
      <c r="C119">
        <v>1</v>
      </c>
      <c r="D119">
        <v>5</v>
      </c>
    </row>
    <row r="120" spans="2:4" x14ac:dyDescent="0.25">
      <c r="B120" s="25" t="s">
        <v>91</v>
      </c>
      <c r="C120">
        <v>1</v>
      </c>
      <c r="D120">
        <v>5</v>
      </c>
    </row>
    <row r="121" spans="2:4" x14ac:dyDescent="0.25">
      <c r="B121" s="25" t="s">
        <v>123</v>
      </c>
      <c r="C121">
        <v>1</v>
      </c>
      <c r="D121">
        <v>5</v>
      </c>
    </row>
    <row r="122" spans="2:4" x14ac:dyDescent="0.25">
      <c r="B122" s="25" t="s">
        <v>118</v>
      </c>
      <c r="C122">
        <v>1</v>
      </c>
      <c r="D122">
        <v>4</v>
      </c>
    </row>
    <row r="123" spans="2:4" x14ac:dyDescent="0.25">
      <c r="B123" s="25" t="s">
        <v>120</v>
      </c>
      <c r="C123">
        <v>1</v>
      </c>
      <c r="D123">
        <v>3</v>
      </c>
    </row>
    <row r="124" spans="2:4" x14ac:dyDescent="0.25">
      <c r="B124" s="25" t="s">
        <v>97</v>
      </c>
      <c r="C124">
        <v>1</v>
      </c>
      <c r="D124">
        <v>3</v>
      </c>
    </row>
    <row r="125" spans="2:4" x14ac:dyDescent="0.25">
      <c r="B125" s="25" t="s">
        <v>105</v>
      </c>
      <c r="C125">
        <v>1</v>
      </c>
      <c r="D125">
        <v>6</v>
      </c>
    </row>
    <row r="126" spans="2:4" x14ac:dyDescent="0.25">
      <c r="B126" s="25" t="s">
        <v>107</v>
      </c>
      <c r="C126">
        <v>1</v>
      </c>
      <c r="D126">
        <v>3</v>
      </c>
    </row>
    <row r="127" spans="2:4" x14ac:dyDescent="0.25">
      <c r="B127" s="25" t="s">
        <v>109</v>
      </c>
      <c r="C127">
        <v>1</v>
      </c>
      <c r="D127">
        <v>4</v>
      </c>
    </row>
    <row r="128" spans="2:4" x14ac:dyDescent="0.25">
      <c r="B128" s="25" t="s">
        <v>103</v>
      </c>
      <c r="C128">
        <v>1</v>
      </c>
      <c r="D128">
        <v>5</v>
      </c>
    </row>
    <row r="129" spans="2:4" x14ac:dyDescent="0.25">
      <c r="B129" s="25" t="s">
        <v>101</v>
      </c>
      <c r="C129">
        <v>1</v>
      </c>
      <c r="D129">
        <v>2</v>
      </c>
    </row>
    <row r="130" spans="2:4" x14ac:dyDescent="0.25">
      <c r="B130" s="25" t="s">
        <v>99</v>
      </c>
      <c r="C130">
        <v>1</v>
      </c>
      <c r="D130">
        <v>4</v>
      </c>
    </row>
    <row r="131" spans="2:4" x14ac:dyDescent="0.25">
      <c r="B131" s="25" t="s">
        <v>167</v>
      </c>
      <c r="C131">
        <v>30</v>
      </c>
      <c r="D131">
        <v>120</v>
      </c>
    </row>
  </sheetData>
  <mergeCells count="4">
    <mergeCell ref="B2:D2"/>
    <mergeCell ref="B13:F13"/>
    <mergeCell ref="B38:C38"/>
    <mergeCell ref="B70:D70"/>
  </mergeCell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Colaboradores</vt:lpstr>
      <vt:lpstr>HU</vt:lpstr>
      <vt:lpstr>Avances</vt:lpstr>
      <vt:lpstr>Analisis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DAYANNA CATHERINNE ROCCA CORTEZ</dc:creator>
  <cp:lastModifiedBy>ALUMNO - DAYANNA CATHERINNE ROCCA CORTEZ</cp:lastModifiedBy>
  <dcterms:created xsi:type="dcterms:W3CDTF">2026-02-21T06:56:17Z</dcterms:created>
  <dcterms:modified xsi:type="dcterms:W3CDTF">2026-02-28T00:37:14Z</dcterms:modified>
</cp:coreProperties>
</file>